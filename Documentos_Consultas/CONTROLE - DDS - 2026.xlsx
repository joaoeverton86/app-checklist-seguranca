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2g1l-my.sharepoint.com/personal/joao_everton_de_souza_limeira_z2g1l_onmicrosoft_com/Documents/Área de Trabalho/app-checklist-v2/Documentos_Consultas/"/>
    </mc:Choice>
  </mc:AlternateContent>
  <xr:revisionPtr revIDLastSave="2" documentId="8_{EC43F786-AE75-4B30-9A70-EB3E4B30DF31}" xr6:coauthVersionLast="47" xr6:coauthVersionMax="47" xr10:uidLastSave="{21FD668C-310D-44C1-9C55-DE9D18CC0464}"/>
  <bookViews>
    <workbookView xWindow="-108" yWindow="-108" windowWidth="23256" windowHeight="13896" activeTab="7" xr2:uid="{00000000-000D-0000-FFFF-FFFF00000000}"/>
  </bookViews>
  <sheets>
    <sheet name="JAN.26" sheetId="11" r:id="rId1"/>
    <sheet name="FEV.26" sheetId="12" r:id="rId2"/>
    <sheet name="MAR.26" sheetId="14" r:id="rId3"/>
    <sheet name="ABR.26" sheetId="17" r:id="rId4"/>
    <sheet name="MAI.26" sheetId="20" r:id="rId5"/>
    <sheet name="JUN.26" sheetId="21" r:id="rId6"/>
    <sheet name="JUL.26" sheetId="22" r:id="rId7"/>
    <sheet name="AGO.26" sheetId="2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23" l="1"/>
  <c r="J3" i="23" l="1"/>
  <c r="E3" i="23"/>
  <c r="T6" i="23"/>
  <c r="U6" i="23"/>
  <c r="V6" i="23"/>
  <c r="W6" i="23"/>
  <c r="X6" i="23"/>
  <c r="T23" i="23"/>
  <c r="U23" i="23"/>
  <c r="V23" i="23"/>
  <c r="W23" i="23"/>
  <c r="X23" i="23"/>
  <c r="T22" i="23"/>
  <c r="T24" i="23" s="1"/>
  <c r="U22" i="23"/>
  <c r="U24" i="23" s="1"/>
  <c r="V22" i="23"/>
  <c r="V24" i="23" s="1"/>
  <c r="W22" i="23"/>
  <c r="W24" i="23" s="1"/>
  <c r="X22" i="23"/>
  <c r="X24" i="23" s="1"/>
  <c r="T21" i="23"/>
  <c r="U21" i="23"/>
  <c r="V21" i="23"/>
  <c r="W21" i="23"/>
  <c r="X21" i="23"/>
  <c r="T20" i="23"/>
  <c r="U20" i="23"/>
  <c r="V20" i="23"/>
  <c r="W20" i="23"/>
  <c r="X20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S22" i="23"/>
  <c r="S24" i="23" s="1"/>
  <c r="R22" i="23"/>
  <c r="R24" i="23" s="1"/>
  <c r="Q22" i="23"/>
  <c r="Q24" i="23" s="1"/>
  <c r="P22" i="23"/>
  <c r="P24" i="23" s="1"/>
  <c r="O22" i="23"/>
  <c r="O24" i="23" s="1"/>
  <c r="N22" i="23"/>
  <c r="N24" i="23" s="1"/>
  <c r="M22" i="23"/>
  <c r="M24" i="23" s="1"/>
  <c r="L22" i="23"/>
  <c r="L24" i="23" s="1"/>
  <c r="K22" i="23"/>
  <c r="K24" i="23" s="1"/>
  <c r="J22" i="23"/>
  <c r="I22" i="23"/>
  <c r="I24" i="23" s="1"/>
  <c r="H22" i="23"/>
  <c r="H24" i="23" s="1"/>
  <c r="G22" i="23"/>
  <c r="G24" i="23" s="1"/>
  <c r="F22" i="23"/>
  <c r="F24" i="23" s="1"/>
  <c r="E22" i="23"/>
  <c r="E24" i="23" s="1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Z19" i="23"/>
  <c r="Y19" i="23"/>
  <c r="AA19" i="23" s="1"/>
  <c r="Z18" i="23"/>
  <c r="Y18" i="23"/>
  <c r="AA18" i="23" s="1"/>
  <c r="Z17" i="23"/>
  <c r="Y17" i="23"/>
  <c r="AA17" i="23" s="1"/>
  <c r="Z16" i="23"/>
  <c r="Y16" i="23"/>
  <c r="AA16" i="23" s="1"/>
  <c r="Z15" i="23"/>
  <c r="Y15" i="23"/>
  <c r="AA15" i="23" s="1"/>
  <c r="Z14" i="23"/>
  <c r="Y14" i="23"/>
  <c r="AA14" i="23" s="1"/>
  <c r="Z13" i="23"/>
  <c r="Y13" i="23"/>
  <c r="AA13" i="23" s="1"/>
  <c r="Z12" i="23"/>
  <c r="Y12" i="23"/>
  <c r="AA12" i="23" s="1"/>
  <c r="Z11" i="23"/>
  <c r="Y11" i="23"/>
  <c r="AA11" i="23" s="1"/>
  <c r="Z10" i="23"/>
  <c r="Y10" i="23"/>
  <c r="AA10" i="23" s="1"/>
  <c r="Z9" i="23"/>
  <c r="Y9" i="23"/>
  <c r="AA9" i="23" s="1"/>
  <c r="Z8" i="23"/>
  <c r="Y8" i="23"/>
  <c r="AA8" i="23" s="1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E6" i="23"/>
  <c r="Q3" i="23"/>
  <c r="V3" i="22"/>
  <c r="Q3" i="22"/>
  <c r="J3" i="22"/>
  <c r="E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X22" i="22"/>
  <c r="X24" i="22" s="1"/>
  <c r="W22" i="22"/>
  <c r="W24" i="22" s="1"/>
  <c r="V22" i="22"/>
  <c r="V24" i="22" s="1"/>
  <c r="U22" i="22"/>
  <c r="U24" i="22" s="1"/>
  <c r="T22" i="22"/>
  <c r="T24" i="22" s="1"/>
  <c r="S22" i="22"/>
  <c r="S24" i="22" s="1"/>
  <c r="R22" i="22"/>
  <c r="R24" i="22" s="1"/>
  <c r="Q22" i="22"/>
  <c r="Q24" i="22" s="1"/>
  <c r="P22" i="22"/>
  <c r="P24" i="22" s="1"/>
  <c r="O22" i="22"/>
  <c r="O24" i="22" s="1"/>
  <c r="N22" i="22"/>
  <c r="N24" i="22" s="1"/>
  <c r="M22" i="22"/>
  <c r="M24" i="22" s="1"/>
  <c r="L22" i="22"/>
  <c r="L24" i="22" s="1"/>
  <c r="K22" i="22"/>
  <c r="K24" i="22" s="1"/>
  <c r="J22" i="22"/>
  <c r="J24" i="22" s="1"/>
  <c r="I22" i="22"/>
  <c r="I24" i="22" s="1"/>
  <c r="H22" i="22"/>
  <c r="H24" i="22" s="1"/>
  <c r="G22" i="22"/>
  <c r="G24" i="22" s="1"/>
  <c r="F22" i="22"/>
  <c r="F24" i="22" s="1"/>
  <c r="E22" i="22"/>
  <c r="E24" i="22" s="1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Z19" i="22"/>
  <c r="Y19" i="22"/>
  <c r="AA19" i="22" s="1"/>
  <c r="Z18" i="22"/>
  <c r="Y18" i="22"/>
  <c r="AA18" i="22" s="1"/>
  <c r="Z17" i="22"/>
  <c r="Y17" i="22"/>
  <c r="AA17" i="22" s="1"/>
  <c r="Z16" i="22"/>
  <c r="Y16" i="22"/>
  <c r="AA16" i="22" s="1"/>
  <c r="Z15" i="22"/>
  <c r="Y15" i="22"/>
  <c r="AA15" i="22" s="1"/>
  <c r="Z14" i="22"/>
  <c r="Y14" i="22"/>
  <c r="AA14" i="22" s="1"/>
  <c r="Z13" i="22"/>
  <c r="Y13" i="22"/>
  <c r="AA13" i="22" s="1"/>
  <c r="Z12" i="22"/>
  <c r="Y12" i="22"/>
  <c r="AA12" i="22" s="1"/>
  <c r="Z11" i="22"/>
  <c r="Y11" i="22"/>
  <c r="AA11" i="22" s="1"/>
  <c r="Z10" i="22"/>
  <c r="Y10" i="22"/>
  <c r="AA10" i="22" s="1"/>
  <c r="Z9" i="22"/>
  <c r="Y9" i="22"/>
  <c r="AA9" i="22" s="1"/>
  <c r="Z8" i="22"/>
  <c r="Y8" i="22"/>
  <c r="AA8" i="22" s="1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E3" i="21"/>
  <c r="Y20" i="23" l="1"/>
  <c r="Z23" i="23"/>
  <c r="Z22" i="23"/>
  <c r="J24" i="23"/>
  <c r="Z24" i="23" s="1"/>
  <c r="Y20" i="22"/>
  <c r="Z23" i="22"/>
  <c r="Z24" i="22"/>
  <c r="Z22" i="22"/>
  <c r="AD16" i="21"/>
  <c r="AD17" i="21"/>
  <c r="AD19" i="21"/>
  <c r="AD11" i="21"/>
  <c r="AF11" i="21" s="1"/>
  <c r="AD10" i="21"/>
  <c r="AF10" i="21" s="1"/>
  <c r="AD12" i="21"/>
  <c r="AF12" i="21" s="1"/>
  <c r="AD8" i="21"/>
  <c r="AF8" i="21"/>
  <c r="AD13" i="21"/>
  <c r="AF13" i="21"/>
  <c r="AD18" i="21"/>
  <c r="AD14" i="21"/>
  <c r="AF14" i="21"/>
  <c r="AD15" i="21"/>
  <c r="AF15" i="21" s="1"/>
  <c r="AD9" i="21"/>
  <c r="AF16" i="21"/>
  <c r="AF17" i="21"/>
  <c r="AF19" i="21"/>
  <c r="Z8" i="20"/>
  <c r="V3" i="21"/>
  <c r="J3" i="21"/>
  <c r="Q3" i="21"/>
  <c r="AA3" i="21"/>
  <c r="E3" i="20"/>
  <c r="Z6" i="21"/>
  <c r="AB23" i="21"/>
  <c r="Y23" i="21"/>
  <c r="Z23" i="21"/>
  <c r="AA23" i="21"/>
  <c r="Y22" i="21"/>
  <c r="Y24" i="21" s="1"/>
  <c r="Z22" i="21"/>
  <c r="Z24" i="21" s="1"/>
  <c r="AA22" i="21"/>
  <c r="AA24" i="21" s="1"/>
  <c r="AB22" i="21"/>
  <c r="AB24" i="21" s="1"/>
  <c r="Y20" i="21"/>
  <c r="Z20" i="21"/>
  <c r="AE19" i="21" s="1"/>
  <c r="AA20" i="21"/>
  <c r="AB20" i="21"/>
  <c r="Y21" i="21"/>
  <c r="Z21" i="21"/>
  <c r="AA21" i="21"/>
  <c r="AB21" i="21"/>
  <c r="AB6" i="21"/>
  <c r="Y6" i="21"/>
  <c r="AA6" i="21"/>
  <c r="X23" i="21"/>
  <c r="X22" i="21"/>
  <c r="X24" i="21" s="1"/>
  <c r="X21" i="21"/>
  <c r="X20" i="21"/>
  <c r="X6" i="21"/>
  <c r="M6" i="21"/>
  <c r="M20" i="21"/>
  <c r="M21" i="21"/>
  <c r="M22" i="21"/>
  <c r="M24" i="21" s="1"/>
  <c r="M23" i="21"/>
  <c r="K6" i="21"/>
  <c r="L6" i="21"/>
  <c r="I6" i="21"/>
  <c r="I20" i="21"/>
  <c r="I21" i="21"/>
  <c r="I22" i="21"/>
  <c r="I24" i="21" s="1"/>
  <c r="I23" i="21"/>
  <c r="L23" i="21"/>
  <c r="L22" i="21"/>
  <c r="L24" i="21" s="1"/>
  <c r="L21" i="21"/>
  <c r="L20" i="21"/>
  <c r="F6" i="21"/>
  <c r="G6" i="21"/>
  <c r="H6" i="21"/>
  <c r="J6" i="21"/>
  <c r="N6" i="21"/>
  <c r="O6" i="21"/>
  <c r="P6" i="21"/>
  <c r="Q6" i="21"/>
  <c r="R6" i="21"/>
  <c r="S6" i="21"/>
  <c r="T6" i="21"/>
  <c r="U6" i="21"/>
  <c r="V6" i="21"/>
  <c r="W6" i="21"/>
  <c r="AC6" i="21"/>
  <c r="AF18" i="21"/>
  <c r="J20" i="21"/>
  <c r="AC23" i="21"/>
  <c r="W23" i="21"/>
  <c r="V23" i="21"/>
  <c r="U23" i="21"/>
  <c r="T23" i="21"/>
  <c r="S23" i="21"/>
  <c r="R23" i="21"/>
  <c r="Q23" i="21"/>
  <c r="P23" i="21"/>
  <c r="O23" i="21"/>
  <c r="N23" i="21"/>
  <c r="K23" i="21"/>
  <c r="J23" i="21"/>
  <c r="H23" i="21"/>
  <c r="G23" i="21"/>
  <c r="F23" i="21"/>
  <c r="E23" i="21"/>
  <c r="AC22" i="21"/>
  <c r="AC24" i="21" s="1"/>
  <c r="W22" i="21"/>
  <c r="W24" i="21" s="1"/>
  <c r="V22" i="21"/>
  <c r="V24" i="21" s="1"/>
  <c r="U22" i="21"/>
  <c r="U24" i="21" s="1"/>
  <c r="T22" i="21"/>
  <c r="T24" i="21" s="1"/>
  <c r="S22" i="21"/>
  <c r="S24" i="21" s="1"/>
  <c r="R22" i="21"/>
  <c r="R24" i="21" s="1"/>
  <c r="Q22" i="21"/>
  <c r="Q24" i="21" s="1"/>
  <c r="P22" i="21"/>
  <c r="P24" i="21" s="1"/>
  <c r="O22" i="21"/>
  <c r="O24" i="21" s="1"/>
  <c r="N22" i="21"/>
  <c r="N24" i="21" s="1"/>
  <c r="K22" i="21"/>
  <c r="K24" i="21" s="1"/>
  <c r="J22" i="21"/>
  <c r="J24" i="21" s="1"/>
  <c r="H22" i="21"/>
  <c r="H24" i="21" s="1"/>
  <c r="G22" i="21"/>
  <c r="G24" i="21" s="1"/>
  <c r="F22" i="21"/>
  <c r="F24" i="21" s="1"/>
  <c r="E22" i="21"/>
  <c r="AC21" i="21"/>
  <c r="W21" i="21"/>
  <c r="V21" i="21"/>
  <c r="U21" i="21"/>
  <c r="T21" i="21"/>
  <c r="S21" i="21"/>
  <c r="R21" i="21"/>
  <c r="Q21" i="21"/>
  <c r="P21" i="21"/>
  <c r="O21" i="21"/>
  <c r="N21" i="21"/>
  <c r="K21" i="21"/>
  <c r="J21" i="21"/>
  <c r="H21" i="21"/>
  <c r="G21" i="21"/>
  <c r="F21" i="21"/>
  <c r="E21" i="21"/>
  <c r="AC20" i="21"/>
  <c r="W20" i="21"/>
  <c r="V20" i="21"/>
  <c r="U20" i="21"/>
  <c r="T20" i="21"/>
  <c r="S20" i="21"/>
  <c r="R20" i="21"/>
  <c r="Q20" i="21"/>
  <c r="P20" i="21"/>
  <c r="O20" i="21"/>
  <c r="N20" i="21"/>
  <c r="K20" i="21"/>
  <c r="H20" i="21"/>
  <c r="G20" i="21"/>
  <c r="F20" i="21"/>
  <c r="E20" i="21"/>
  <c r="AE18" i="21"/>
  <c r="AE17" i="21"/>
  <c r="AE16" i="21"/>
  <c r="AE15" i="21"/>
  <c r="AE14" i="21"/>
  <c r="AE13" i="21"/>
  <c r="AE12" i="21"/>
  <c r="AE11" i="21"/>
  <c r="AE10" i="21"/>
  <c r="AF9" i="21"/>
  <c r="AE9" i="21"/>
  <c r="AE8" i="21"/>
  <c r="E6" i="21"/>
  <c r="O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Y22" i="20"/>
  <c r="Y24" i="20" s="1"/>
  <c r="X22" i="20"/>
  <c r="X24" i="20" s="1"/>
  <c r="W22" i="20"/>
  <c r="W24" i="20" s="1"/>
  <c r="V22" i="20"/>
  <c r="V24" i="20" s="1"/>
  <c r="U22" i="20"/>
  <c r="U24" i="20" s="1"/>
  <c r="T22" i="20"/>
  <c r="T24" i="20" s="1"/>
  <c r="S22" i="20"/>
  <c r="S24" i="20" s="1"/>
  <c r="R22" i="20"/>
  <c r="R24" i="20" s="1"/>
  <c r="Q22" i="20"/>
  <c r="Q24" i="20" s="1"/>
  <c r="P22" i="20"/>
  <c r="P24" i="20" s="1"/>
  <c r="O22" i="20"/>
  <c r="N22" i="20"/>
  <c r="N24" i="20" s="1"/>
  <c r="M22" i="20"/>
  <c r="M24" i="20" s="1"/>
  <c r="L22" i="20"/>
  <c r="L24" i="20" s="1"/>
  <c r="K22" i="20"/>
  <c r="K24" i="20" s="1"/>
  <c r="J22" i="20"/>
  <c r="J24" i="20" s="1"/>
  <c r="I22" i="20"/>
  <c r="I24" i="20" s="1"/>
  <c r="H22" i="20"/>
  <c r="H24" i="20" s="1"/>
  <c r="G22" i="20"/>
  <c r="G24" i="20" s="1"/>
  <c r="F22" i="20"/>
  <c r="F24" i="20" s="1"/>
  <c r="E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AA19" i="20"/>
  <c r="Z19" i="20"/>
  <c r="AB19" i="20" s="1"/>
  <c r="AA18" i="20"/>
  <c r="Z18" i="20"/>
  <c r="AB18" i="20" s="1"/>
  <c r="AA17" i="20"/>
  <c r="Z17" i="20"/>
  <c r="AB17" i="20" s="1"/>
  <c r="AA16" i="20"/>
  <c r="Z16" i="20"/>
  <c r="AB16" i="20" s="1"/>
  <c r="AA15" i="20"/>
  <c r="Z15" i="20"/>
  <c r="AB15" i="20" s="1"/>
  <c r="AA14" i="20"/>
  <c r="Z14" i="20"/>
  <c r="AB14" i="20" s="1"/>
  <c r="AA13" i="20"/>
  <c r="Z13" i="20"/>
  <c r="AB13" i="20" s="1"/>
  <c r="AA12" i="20"/>
  <c r="Z12" i="20"/>
  <c r="AB12" i="20" s="1"/>
  <c r="AA11" i="20"/>
  <c r="Z11" i="20"/>
  <c r="AB11" i="20" s="1"/>
  <c r="AA10" i="20"/>
  <c r="Z10" i="20"/>
  <c r="AB10" i="20" s="1"/>
  <c r="AA9" i="20"/>
  <c r="Z9" i="20"/>
  <c r="AB9" i="20" s="1"/>
  <c r="AA8" i="20"/>
  <c r="AB8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U3" i="20"/>
  <c r="P3" i="20"/>
  <c r="K3" i="20"/>
  <c r="AA8" i="11"/>
  <c r="Z8" i="11"/>
  <c r="Y8" i="11"/>
  <c r="AD9" i="17"/>
  <c r="AD10" i="17"/>
  <c r="AD11" i="17"/>
  <c r="AD12" i="17"/>
  <c r="AD13" i="17"/>
  <c r="AD14" i="17"/>
  <c r="AD15" i="17"/>
  <c r="AD16" i="17"/>
  <c r="AD17" i="17"/>
  <c r="AD18" i="17"/>
  <c r="AD19" i="17"/>
  <c r="AD8" i="17"/>
  <c r="AC9" i="17"/>
  <c r="AC10" i="17"/>
  <c r="AC11" i="17"/>
  <c r="AC12" i="17"/>
  <c r="AC13" i="17"/>
  <c r="AC14" i="17"/>
  <c r="AC15" i="17"/>
  <c r="AC16" i="17"/>
  <c r="AC17" i="17"/>
  <c r="AC18" i="17"/>
  <c r="AC19" i="17"/>
  <c r="AC8" i="17"/>
  <c r="Y3" i="17"/>
  <c r="T3" i="17"/>
  <c r="K24" i="17"/>
  <c r="J24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AB22" i="17"/>
  <c r="AB24" i="17" s="1"/>
  <c r="AA22" i="17"/>
  <c r="AA24" i="17" s="1"/>
  <c r="Z22" i="17"/>
  <c r="Z24" i="17" s="1"/>
  <c r="Y22" i="17"/>
  <c r="Y24" i="17" s="1"/>
  <c r="X22" i="17"/>
  <c r="X24" i="17" s="1"/>
  <c r="W22" i="17"/>
  <c r="W24" i="17" s="1"/>
  <c r="V22" i="17"/>
  <c r="V24" i="17" s="1"/>
  <c r="U22" i="17"/>
  <c r="U24" i="17" s="1"/>
  <c r="T22" i="17"/>
  <c r="T24" i="17" s="1"/>
  <c r="S22" i="17"/>
  <c r="S24" i="17" s="1"/>
  <c r="R22" i="17"/>
  <c r="R24" i="17" s="1"/>
  <c r="Q22" i="17"/>
  <c r="Q24" i="17" s="1"/>
  <c r="P22" i="17"/>
  <c r="P24" i="17" s="1"/>
  <c r="O22" i="17"/>
  <c r="O24" i="17" s="1"/>
  <c r="N22" i="17"/>
  <c r="N24" i="17" s="1"/>
  <c r="M22" i="17"/>
  <c r="M24" i="17" s="1"/>
  <c r="L22" i="17"/>
  <c r="L24" i="17" s="1"/>
  <c r="K22" i="17"/>
  <c r="J22" i="17"/>
  <c r="I22" i="17"/>
  <c r="I24" i="17" s="1"/>
  <c r="H22" i="17"/>
  <c r="H24" i="17" s="1"/>
  <c r="G22" i="17"/>
  <c r="G24" i="17" s="1"/>
  <c r="F22" i="17"/>
  <c r="F24" i="17" s="1"/>
  <c r="E22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Y6" i="17"/>
  <c r="F6" i="17"/>
  <c r="E6" i="17"/>
  <c r="Z5" i="17"/>
  <c r="AA5" i="17" s="1"/>
  <c r="F5" i="17"/>
  <c r="G5" i="17" s="1"/>
  <c r="O3" i="17"/>
  <c r="J3" i="17"/>
  <c r="E3" i="17"/>
  <c r="AB9" i="14"/>
  <c r="AB10" i="14"/>
  <c r="AB11" i="14"/>
  <c r="AB12" i="14"/>
  <c r="AB13" i="14"/>
  <c r="AB14" i="14"/>
  <c r="AB15" i="14"/>
  <c r="AB16" i="14"/>
  <c r="AB17" i="14"/>
  <c r="AB18" i="14"/>
  <c r="AB19" i="14"/>
  <c r="AB8" i="14"/>
  <c r="AA9" i="14"/>
  <c r="AA10" i="14"/>
  <c r="AA11" i="14"/>
  <c r="AA12" i="14"/>
  <c r="AA13" i="14"/>
  <c r="AA14" i="14"/>
  <c r="AA15" i="14"/>
  <c r="AA16" i="14"/>
  <c r="AA17" i="14"/>
  <c r="AA18" i="14"/>
  <c r="AA19" i="14"/>
  <c r="AA8" i="14"/>
  <c r="X23" i="14"/>
  <c r="Y23" i="14"/>
  <c r="X22" i="14"/>
  <c r="X24" i="14" s="1"/>
  <c r="Y22" i="14"/>
  <c r="Y24" i="14" s="1"/>
  <c r="W22" i="14"/>
  <c r="W24" i="14" s="1"/>
  <c r="W23" i="14"/>
  <c r="X21" i="14"/>
  <c r="Y21" i="14"/>
  <c r="X20" i="14"/>
  <c r="Y20" i="14"/>
  <c r="Y6" i="14"/>
  <c r="Z6" i="14"/>
  <c r="Z5" i="14"/>
  <c r="F5" i="12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F5" i="14"/>
  <c r="F6" i="14" s="1"/>
  <c r="E6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Z20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Z21" i="14"/>
  <c r="E22" i="14"/>
  <c r="E24" i="14" s="1"/>
  <c r="F22" i="14"/>
  <c r="F24" i="14" s="1"/>
  <c r="G22" i="14"/>
  <c r="G24" i="14" s="1"/>
  <c r="H22" i="14"/>
  <c r="H24" i="14" s="1"/>
  <c r="I22" i="14"/>
  <c r="I24" i="14" s="1"/>
  <c r="J22" i="14"/>
  <c r="J24" i="14" s="1"/>
  <c r="K22" i="14"/>
  <c r="K24" i="14" s="1"/>
  <c r="L22" i="14"/>
  <c r="L24" i="14" s="1"/>
  <c r="M22" i="14"/>
  <c r="M24" i="14" s="1"/>
  <c r="N22" i="14"/>
  <c r="N24" i="14" s="1"/>
  <c r="O22" i="14"/>
  <c r="O24" i="14" s="1"/>
  <c r="P22" i="14"/>
  <c r="P24" i="14" s="1"/>
  <c r="Q22" i="14"/>
  <c r="Q24" i="14" s="1"/>
  <c r="R22" i="14"/>
  <c r="R24" i="14" s="1"/>
  <c r="S22" i="14"/>
  <c r="S24" i="14" s="1"/>
  <c r="T22" i="14"/>
  <c r="T24" i="14" s="1"/>
  <c r="U22" i="14"/>
  <c r="U24" i="14" s="1"/>
  <c r="V22" i="14"/>
  <c r="V24" i="14" s="1"/>
  <c r="Z22" i="14"/>
  <c r="Z24" i="14" s="1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Z23" i="14"/>
  <c r="E3" i="14"/>
  <c r="J3" i="14"/>
  <c r="O3" i="14"/>
  <c r="T3" i="14"/>
  <c r="V23" i="12"/>
  <c r="W23" i="12"/>
  <c r="X23" i="12"/>
  <c r="V22" i="12"/>
  <c r="W22" i="12"/>
  <c r="X22" i="12"/>
  <c r="V21" i="12"/>
  <c r="W21" i="12"/>
  <c r="X21" i="12"/>
  <c r="AA23" i="20" l="1"/>
  <c r="AA22" i="20"/>
  <c r="Z20" i="20"/>
  <c r="AE22" i="21"/>
  <c r="AD20" i="21"/>
  <c r="AE23" i="21"/>
  <c r="E24" i="21"/>
  <c r="AE24" i="21" s="1"/>
  <c r="E24" i="20"/>
  <c r="AA24" i="20" s="1"/>
  <c r="AC20" i="17"/>
  <c r="AD22" i="17"/>
  <c r="AD23" i="17"/>
  <c r="H5" i="17"/>
  <c r="G6" i="17"/>
  <c r="AB5" i="17"/>
  <c r="AB6" i="17" s="1"/>
  <c r="AA6" i="17"/>
  <c r="Z6" i="17"/>
  <c r="E24" i="17"/>
  <c r="AD24" i="17" s="1"/>
  <c r="AA20" i="14"/>
  <c r="AB22" i="14"/>
  <c r="AB23" i="14"/>
  <c r="AB24" i="14"/>
  <c r="G5" i="14"/>
  <c r="T3" i="12"/>
  <c r="O3" i="12"/>
  <c r="J3" i="12"/>
  <c r="E3" i="12"/>
  <c r="I5" i="17" l="1"/>
  <c r="H6" i="17"/>
  <c r="G6" i="14"/>
  <c r="H5" i="14"/>
  <c r="Y13" i="12"/>
  <c r="Y12" i="12"/>
  <c r="Y11" i="12"/>
  <c r="Y10" i="12"/>
  <c r="Y9" i="12"/>
  <c r="Y8" i="12"/>
  <c r="V24" i="12"/>
  <c r="W24" i="12"/>
  <c r="X24" i="12"/>
  <c r="V20" i="12"/>
  <c r="W20" i="12"/>
  <c r="X20" i="12"/>
  <c r="Z18" i="12"/>
  <c r="AA18" i="12" s="1"/>
  <c r="Z17" i="12"/>
  <c r="AA17" i="12" s="1"/>
  <c r="Z16" i="12"/>
  <c r="AA16" i="12" s="1"/>
  <c r="Z15" i="12"/>
  <c r="AA15" i="12" s="1"/>
  <c r="Z14" i="12"/>
  <c r="AA14" i="12" s="1"/>
  <c r="Z13" i="12"/>
  <c r="AA13" i="12" s="1"/>
  <c r="Z12" i="12"/>
  <c r="AA12" i="12" s="1"/>
  <c r="Z11" i="12"/>
  <c r="AA11" i="12" s="1"/>
  <c r="Z10" i="12"/>
  <c r="AA10" i="12" s="1"/>
  <c r="Z9" i="12"/>
  <c r="AA9" i="12" s="1"/>
  <c r="Z8" i="12"/>
  <c r="AA8" i="12" s="1"/>
  <c r="Z19" i="12"/>
  <c r="AA19" i="12" s="1"/>
  <c r="Y19" i="12"/>
  <c r="Y18" i="12"/>
  <c r="Y16" i="12"/>
  <c r="Y17" i="12"/>
  <c r="Y15" i="12"/>
  <c r="Y14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U22" i="12"/>
  <c r="U24" i="12" s="1"/>
  <c r="T22" i="12"/>
  <c r="T24" i="12" s="1"/>
  <c r="S22" i="12"/>
  <c r="S24" i="12" s="1"/>
  <c r="R22" i="12"/>
  <c r="R24" i="12" s="1"/>
  <c r="Q22" i="12"/>
  <c r="Q24" i="12" s="1"/>
  <c r="P22" i="12"/>
  <c r="P24" i="12" s="1"/>
  <c r="O22" i="12"/>
  <c r="O24" i="12" s="1"/>
  <c r="N22" i="12"/>
  <c r="N24" i="12" s="1"/>
  <c r="M22" i="12"/>
  <c r="M24" i="12" s="1"/>
  <c r="L22" i="12"/>
  <c r="L24" i="12" s="1"/>
  <c r="K22" i="12"/>
  <c r="K24" i="12" s="1"/>
  <c r="J22" i="12"/>
  <c r="J24" i="12" s="1"/>
  <c r="I22" i="12"/>
  <c r="I24" i="12" s="1"/>
  <c r="H22" i="12"/>
  <c r="H24" i="12" s="1"/>
  <c r="G22" i="12"/>
  <c r="G24" i="12" s="1"/>
  <c r="F22" i="12"/>
  <c r="F24" i="12" s="1"/>
  <c r="E22" i="12"/>
  <c r="E24" i="12" s="1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E6" i="12"/>
  <c r="F6" i="12"/>
  <c r="Z18" i="11"/>
  <c r="Y19" i="11"/>
  <c r="Y18" i="11"/>
  <c r="Y17" i="11"/>
  <c r="Y16" i="11"/>
  <c r="Y15" i="11"/>
  <c r="Y14" i="11"/>
  <c r="Y13" i="11"/>
  <c r="Y12" i="11"/>
  <c r="Y11" i="11"/>
  <c r="Y10" i="11"/>
  <c r="Y9" i="11"/>
  <c r="Z19" i="11"/>
  <c r="AA19" i="11" s="1"/>
  <c r="AA18" i="11"/>
  <c r="Z17" i="11"/>
  <c r="AA17" i="11" s="1"/>
  <c r="Z16" i="11"/>
  <c r="AA16" i="11" s="1"/>
  <c r="Z15" i="11"/>
  <c r="Z14" i="11"/>
  <c r="AA14" i="11" s="1"/>
  <c r="Z13" i="11"/>
  <c r="AA13" i="11" s="1"/>
  <c r="Z12" i="11"/>
  <c r="AA12" i="11" s="1"/>
  <c r="Z11" i="11"/>
  <c r="AA11" i="11" s="1"/>
  <c r="Z10" i="11"/>
  <c r="AA10" i="11" s="1"/>
  <c r="Z9" i="11"/>
  <c r="AA9" i="11" s="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X22" i="11"/>
  <c r="X24" i="11" s="1"/>
  <c r="W22" i="11"/>
  <c r="W24" i="11" s="1"/>
  <c r="V22" i="11"/>
  <c r="V24" i="11" s="1"/>
  <c r="U22" i="11"/>
  <c r="U24" i="11" s="1"/>
  <c r="T22" i="11"/>
  <c r="T24" i="11" s="1"/>
  <c r="S22" i="11"/>
  <c r="S24" i="11" s="1"/>
  <c r="R22" i="11"/>
  <c r="R24" i="11" s="1"/>
  <c r="Q22" i="11"/>
  <c r="Q24" i="11" s="1"/>
  <c r="P22" i="11"/>
  <c r="P24" i="11" s="1"/>
  <c r="O22" i="11"/>
  <c r="O24" i="11" s="1"/>
  <c r="N22" i="11"/>
  <c r="N24" i="11" s="1"/>
  <c r="M22" i="11"/>
  <c r="M24" i="11" s="1"/>
  <c r="L22" i="11"/>
  <c r="L24" i="11" s="1"/>
  <c r="K22" i="11"/>
  <c r="K24" i="11" s="1"/>
  <c r="J22" i="11"/>
  <c r="J24" i="11" s="1"/>
  <c r="I22" i="11"/>
  <c r="I24" i="11" s="1"/>
  <c r="H22" i="11"/>
  <c r="H24" i="11" s="1"/>
  <c r="G22" i="11"/>
  <c r="G24" i="11" s="1"/>
  <c r="F22" i="11"/>
  <c r="F24" i="11" s="1"/>
  <c r="E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AA15" i="11"/>
  <c r="E6" i="11"/>
  <c r="F5" i="11"/>
  <c r="G5" i="11" s="1"/>
  <c r="J5" i="17" l="1"/>
  <c r="I6" i="17"/>
  <c r="H6" i="14"/>
  <c r="I5" i="14"/>
  <c r="Z23" i="12"/>
  <c r="Z22" i="12"/>
  <c r="Z24" i="12"/>
  <c r="Y20" i="12"/>
  <c r="Y20" i="11"/>
  <c r="Z23" i="11"/>
  <c r="Z22" i="11"/>
  <c r="F6" i="11"/>
  <c r="H5" i="11"/>
  <c r="G6" i="11"/>
  <c r="E24" i="11"/>
  <c r="Z24" i="11" s="1"/>
  <c r="K5" i="17" l="1"/>
  <c r="J6" i="17"/>
  <c r="I6" i="14"/>
  <c r="J5" i="14"/>
  <c r="G6" i="12"/>
  <c r="I5" i="11"/>
  <c r="H6" i="11"/>
  <c r="K6" i="17" l="1"/>
  <c r="L5" i="17"/>
  <c r="J6" i="14"/>
  <c r="K5" i="14"/>
  <c r="H6" i="12"/>
  <c r="J5" i="11"/>
  <c r="I6" i="11"/>
  <c r="L6" i="17" l="1"/>
  <c r="M5" i="17"/>
  <c r="K6" i="14"/>
  <c r="L5" i="14"/>
  <c r="I6" i="12"/>
  <c r="K5" i="11"/>
  <c r="J6" i="11"/>
  <c r="M6" i="17" l="1"/>
  <c r="N5" i="17"/>
  <c r="L6" i="14"/>
  <c r="M5" i="14"/>
  <c r="J6" i="12"/>
  <c r="K6" i="11"/>
  <c r="L5" i="11"/>
  <c r="O5" i="17" l="1"/>
  <c r="N6" i="17"/>
  <c r="N5" i="14"/>
  <c r="M6" i="14"/>
  <c r="K6" i="12"/>
  <c r="L6" i="11"/>
  <c r="M5" i="11"/>
  <c r="P5" i="17" l="1"/>
  <c r="O6" i="17"/>
  <c r="O5" i="14"/>
  <c r="N6" i="14"/>
  <c r="L6" i="12"/>
  <c r="M6" i="11"/>
  <c r="N5" i="11"/>
  <c r="Q5" i="17" l="1"/>
  <c r="P6" i="17"/>
  <c r="P5" i="14"/>
  <c r="O6" i="14"/>
  <c r="M6" i="12"/>
  <c r="N6" i="11"/>
  <c r="O5" i="11"/>
  <c r="R5" i="17" l="1"/>
  <c r="Q6" i="17"/>
  <c r="P6" i="14"/>
  <c r="Q5" i="14"/>
  <c r="N6" i="12"/>
  <c r="O6" i="11"/>
  <c r="P5" i="11"/>
  <c r="R6" i="17" l="1"/>
  <c r="S5" i="17"/>
  <c r="R5" i="14"/>
  <c r="Q6" i="14"/>
  <c r="O6" i="12"/>
  <c r="Q5" i="11"/>
  <c r="P6" i="11"/>
  <c r="S6" i="17" l="1"/>
  <c r="T5" i="17"/>
  <c r="R6" i="14"/>
  <c r="S5" i="14"/>
  <c r="P6" i="12"/>
  <c r="R5" i="11"/>
  <c r="Q6" i="11"/>
  <c r="U5" i="17" l="1"/>
  <c r="T6" i="17"/>
  <c r="S6" i="14"/>
  <c r="T5" i="14"/>
  <c r="Q6" i="12"/>
  <c r="S5" i="11"/>
  <c r="R6" i="11"/>
  <c r="V5" i="17" l="1"/>
  <c r="U6" i="17"/>
  <c r="T6" i="14"/>
  <c r="U5" i="14"/>
  <c r="R6" i="12"/>
  <c r="T5" i="11"/>
  <c r="S6" i="11"/>
  <c r="W5" i="17" l="1"/>
  <c r="V6" i="17"/>
  <c r="U6" i="14"/>
  <c r="V5" i="14"/>
  <c r="S6" i="12"/>
  <c r="U5" i="11"/>
  <c r="T6" i="11"/>
  <c r="W6" i="17" l="1"/>
  <c r="X5" i="17"/>
  <c r="X6" i="17" s="1"/>
  <c r="W5" i="14"/>
  <c r="V6" i="14"/>
  <c r="T6" i="12"/>
  <c r="V5" i="11"/>
  <c r="U6" i="11"/>
  <c r="W6" i="14" l="1"/>
  <c r="X5" i="14"/>
  <c r="X6" i="14" s="1"/>
  <c r="V6" i="12"/>
  <c r="U6" i="12"/>
  <c r="W5" i="11"/>
  <c r="V6" i="11"/>
  <c r="W6" i="12" l="1"/>
  <c r="X6" i="12"/>
  <c r="W6" i="11"/>
  <c r="X5" i="11"/>
  <c r="X6" i="11" l="1"/>
</calcChain>
</file>

<file path=xl/sharedStrings.xml><?xml version="1.0" encoding="utf-8"?>
<sst xmlns="http://schemas.openxmlformats.org/spreadsheetml/2006/main" count="482" uniqueCount="36">
  <si>
    <t>COP - CONSÓRCIO OPERADOR DO PISF RAMAL DO AGRESTE</t>
  </si>
  <si>
    <t>CONTROLE DE HORAS APLICADAS - DIÁLOGO DIÁRIO DE SEGURANÇA - DDS</t>
  </si>
  <si>
    <t>Carga horária = 10min por tema por dia</t>
  </si>
  <si>
    <t>TOTAL DE ATIVIDADES POR EQUIPES</t>
  </si>
  <si>
    <t>Total</t>
  </si>
  <si>
    <t>QTD</t>
  </si>
  <si>
    <t>ENCARREGADO / LIDER</t>
  </si>
  <si>
    <t>SETOR</t>
  </si>
  <si>
    <t>Nº Participantes</t>
  </si>
  <si>
    <t>ANDRÉ</t>
  </si>
  <si>
    <t>TOPOGRAFIA</t>
  </si>
  <si>
    <t>DEYLON</t>
  </si>
  <si>
    <t>OPERAÇÃO</t>
  </si>
  <si>
    <t>EDSON</t>
  </si>
  <si>
    <t>CIVIL</t>
  </si>
  <si>
    <t>DANILO</t>
  </si>
  <si>
    <t>TRANSPORTE</t>
  </si>
  <si>
    <t>EVERALDO</t>
  </si>
  <si>
    <t>CONSERVAÇAO E LIMPEZA</t>
  </si>
  <si>
    <t>FABIANO</t>
  </si>
  <si>
    <t>FABRICIO</t>
  </si>
  <si>
    <t>ELÉTRICA</t>
  </si>
  <si>
    <t>ROBSON</t>
  </si>
  <si>
    <t>ELETROMECÂNICA</t>
  </si>
  <si>
    <t>EDUARDO JACY</t>
  </si>
  <si>
    <t>EDILSON</t>
  </si>
  <si>
    <t>NESTOR</t>
  </si>
  <si>
    <t>SEG. BARRAGEM</t>
  </si>
  <si>
    <t>WILLIAMS</t>
  </si>
  <si>
    <r>
      <t xml:space="preserve">Nº DE EQUIPES </t>
    </r>
    <r>
      <rPr>
        <b/>
        <sz val="8"/>
        <color rgb="FF00B050"/>
        <rFont val="Arial"/>
        <family val="2"/>
      </rPr>
      <t>(DDS)</t>
    </r>
    <r>
      <rPr>
        <sz val="8"/>
        <rFont val="Arial"/>
        <family val="2"/>
      </rPr>
      <t xml:space="preserve"> REALIZADO</t>
    </r>
  </si>
  <si>
    <t xml:space="preserve"> - </t>
  </si>
  <si>
    <r>
      <t xml:space="preserve">Nº DE </t>
    </r>
    <r>
      <rPr>
        <b/>
        <sz val="8"/>
        <color rgb="FF00B050"/>
        <rFont val="Arial"/>
        <family val="2"/>
      </rPr>
      <t>(DDS)</t>
    </r>
    <r>
      <rPr>
        <sz val="8"/>
        <color rgb="FF00B050"/>
        <rFont val="Arial"/>
        <family val="2"/>
      </rPr>
      <t xml:space="preserve"> </t>
    </r>
    <r>
      <rPr>
        <sz val="8"/>
        <rFont val="Arial"/>
        <family val="2"/>
      </rPr>
      <t>ATIVIDADES EM CADA EQUIPE</t>
    </r>
  </si>
  <si>
    <t>Nº  DE ASSINATURAS
POR TEMA</t>
  </si>
  <si>
    <t>TOTAL EM HORAS POR TEMA</t>
  </si>
  <si>
    <t>CONTROLE DE HORAS APLICADAS - DIÁLOGO DIÁRIO DE SEGURANÇA - DDS - COP - CONSÓRCIO OPERADOR DO PISF RAMAL DO AGRESTE</t>
  </si>
  <si>
    <t>ADEILTON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</si>
</sst>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dd"/>
    <numFmt numFmtId="166" formatCode="dd/mm/yy"/>
  </numFmts>
  <fonts count="18" x14ac:knownFonts="1">
    <font>
      <sz val="10"/>
      <color rgb="FF000000"/>
      <name val="Times New Roman"/>
      <charset val="204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00B050"/>
      <name val="Arial"/>
      <family val="2"/>
    </font>
    <font>
      <b/>
      <sz val="8"/>
      <color rgb="FF000000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8"/>
      <color rgb="FF00B050"/>
      <name val="Arial"/>
      <family val="2"/>
    </font>
    <font>
      <b/>
      <sz val="8"/>
      <color rgb="FFFF0000"/>
      <name val="Arial"/>
      <family val="2"/>
    </font>
    <font>
      <b/>
      <sz val="7"/>
      <color theme="0"/>
      <name val="Arial"/>
      <family val="2"/>
    </font>
    <font>
      <b/>
      <sz val="9"/>
      <color rgb="FF00B050"/>
      <name val="Arial"/>
      <family val="2"/>
    </font>
    <font>
      <sz val="9"/>
      <color rgb="FF00000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9"/>
      <color rgb="FFFF0000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64281"/>
        <bgColor indexed="64"/>
      </patternFill>
    </fill>
    <fill>
      <patternFill patternType="solid">
        <fgColor rgb="FF09A1E6"/>
        <bgColor indexed="64"/>
      </patternFill>
    </fill>
    <fill>
      <patternFill patternType="solid">
        <fgColor rgb="FFEE9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 shrinkToFit="1"/>
    </xf>
    <xf numFmtId="1" fontId="4" fillId="4" borderId="1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1" fontId="9" fillId="4" borderId="9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164" fontId="4" fillId="4" borderId="11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shrinkToFit="1"/>
    </xf>
    <xf numFmtId="164" fontId="4" fillId="0" borderId="13" xfId="0" applyNumberFormat="1" applyFont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66" fontId="6" fillId="5" borderId="0" xfId="0" applyNumberFormat="1" applyFont="1" applyFill="1" applyAlignment="1">
      <alignment horizontal="center" vertical="center" shrinkToFit="1"/>
    </xf>
    <xf numFmtId="166" fontId="6" fillId="5" borderId="3" xfId="0" applyNumberFormat="1" applyFont="1" applyFill="1" applyBorder="1" applyAlignment="1">
      <alignment horizontal="center" vertical="center" shrinkToFi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164" fontId="6" fillId="3" borderId="15" xfId="0" applyNumberFormat="1" applyFont="1" applyFill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Continuous" vertical="center"/>
    </xf>
    <xf numFmtId="164" fontId="1" fillId="0" borderId="0" xfId="0" applyNumberFormat="1" applyFont="1" applyAlignment="1">
      <alignment horizontal="center" vertical="center"/>
    </xf>
    <xf numFmtId="1" fontId="4" fillId="3" borderId="8" xfId="0" applyNumberFormat="1" applyFont="1" applyFill="1" applyBorder="1" applyAlignment="1">
      <alignment horizontal="centerContinuous" vertical="center" wrapText="1"/>
    </xf>
    <xf numFmtId="0" fontId="6" fillId="5" borderId="19" xfId="0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 shrinkToFit="1"/>
    </xf>
    <xf numFmtId="1" fontId="1" fillId="8" borderId="1" xfId="0" applyNumberFormat="1" applyFont="1" applyFill="1" applyBorder="1" applyAlignment="1">
      <alignment horizontal="center" vertical="center" wrapText="1" shrinkToFit="1"/>
    </xf>
    <xf numFmtId="0" fontId="7" fillId="8" borderId="1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Continuous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Continuous" vertical="center" wrapText="1"/>
    </xf>
    <xf numFmtId="1" fontId="15" fillId="0" borderId="21" xfId="0" applyNumberFormat="1" applyFont="1" applyBorder="1" applyAlignment="1">
      <alignment horizontal="centerContinuous" vertical="center" wrapText="1"/>
    </xf>
    <xf numFmtId="1" fontId="1" fillId="9" borderId="1" xfId="0" applyNumberFormat="1" applyFont="1" applyFill="1" applyBorder="1" applyAlignment="1">
      <alignment horizontal="center" vertical="center" shrinkToFit="1"/>
    </xf>
    <xf numFmtId="1" fontId="1" fillId="9" borderId="1" xfId="0" applyNumberFormat="1" applyFont="1" applyFill="1" applyBorder="1" applyAlignment="1">
      <alignment horizontal="center" vertical="center" wrapText="1" shrinkToFit="1"/>
    </xf>
    <xf numFmtId="0" fontId="7" fillId="9" borderId="1" xfId="0" applyFont="1" applyFill="1" applyBorder="1" applyAlignment="1">
      <alignment horizontal="center" vertical="center" wrapText="1"/>
    </xf>
    <xf numFmtId="164" fontId="1" fillId="9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" fontId="1" fillId="10" borderId="1" xfId="0" applyNumberFormat="1" applyFont="1" applyFill="1" applyBorder="1" applyAlignment="1">
      <alignment horizontal="center" vertical="center" shrinkToFit="1"/>
    </xf>
    <xf numFmtId="1" fontId="16" fillId="10" borderId="1" xfId="0" applyNumberFormat="1" applyFont="1" applyFill="1" applyBorder="1" applyAlignment="1">
      <alignment horizontal="center" vertical="center" shrinkToFit="1"/>
    </xf>
    <xf numFmtId="1" fontId="17" fillId="9" borderId="1" xfId="0" applyNumberFormat="1" applyFont="1" applyFill="1" applyBorder="1" applyAlignment="1">
      <alignment horizontal="center" vertical="center" shrinkToFit="1"/>
    </xf>
    <xf numFmtId="1" fontId="15" fillId="0" borderId="20" xfId="0" applyNumberFormat="1" applyFont="1" applyBorder="1" applyAlignment="1">
      <alignment horizontal="centerContinuous" vertical="center" wrapText="1"/>
    </xf>
    <xf numFmtId="1" fontId="1" fillId="0" borderId="0" xfId="0" applyNumberFormat="1" applyFont="1" applyAlignment="1">
      <alignment horizontal="center" vertical="center" shrinkToFit="1"/>
    </xf>
    <xf numFmtId="1" fontId="15" fillId="0" borderId="21" xfId="0" applyNumberFormat="1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Continuous" vertical="center" wrapText="1"/>
    </xf>
    <xf numFmtId="1" fontId="17" fillId="10" borderId="1" xfId="0" applyNumberFormat="1" applyFont="1" applyFill="1" applyBorder="1" applyAlignment="1">
      <alignment horizontal="center" vertical="center" shrinkToFit="1"/>
    </xf>
    <xf numFmtId="0" fontId="1" fillId="1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64281"/>
      <color rgb="FFEE9921"/>
      <color rgb="FF09A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273338</xdr:colOff>
      <xdr:row>1</xdr:row>
      <xdr:rowOff>83215</xdr:rowOff>
    </xdr:from>
    <xdr:to>
      <xdr:col>2</xdr:col>
      <xdr:colOff>1293790</xdr:colOff>
      <xdr:row>5</xdr:row>
      <xdr:rowOff>86591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A015307-3281-4677-B604-56279EF29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18" y="136555"/>
          <a:ext cx="1370972" cy="567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273338</xdr:colOff>
      <xdr:row>1</xdr:row>
      <xdr:rowOff>83215</xdr:rowOff>
    </xdr:from>
    <xdr:to>
      <xdr:col>2</xdr:col>
      <xdr:colOff>1293790</xdr:colOff>
      <xdr:row>4</xdr:row>
      <xdr:rowOff>107373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71B45-3D4A-40BD-89A7-82D8CF2C4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18" y="136555"/>
          <a:ext cx="1370972" cy="567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273338</xdr:colOff>
      <xdr:row>1</xdr:row>
      <xdr:rowOff>83215</xdr:rowOff>
    </xdr:from>
    <xdr:to>
      <xdr:col>2</xdr:col>
      <xdr:colOff>1238545</xdr:colOff>
      <xdr:row>4</xdr:row>
      <xdr:rowOff>99753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7DF2BB-9630-4C94-BDB9-EAEBF8D5B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488" y="140365"/>
          <a:ext cx="1315727" cy="5575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273338</xdr:colOff>
      <xdr:row>1</xdr:row>
      <xdr:rowOff>83215</xdr:rowOff>
    </xdr:from>
    <xdr:to>
      <xdr:col>2</xdr:col>
      <xdr:colOff>1238545</xdr:colOff>
      <xdr:row>4</xdr:row>
      <xdr:rowOff>99753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791583-486D-4BB9-A31F-642032DD2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18" y="136555"/>
          <a:ext cx="1315727" cy="5575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273338</xdr:colOff>
      <xdr:row>1</xdr:row>
      <xdr:rowOff>83215</xdr:rowOff>
    </xdr:from>
    <xdr:to>
      <xdr:col>2</xdr:col>
      <xdr:colOff>1238545</xdr:colOff>
      <xdr:row>4</xdr:row>
      <xdr:rowOff>99753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92CF4A-EFA6-40C1-9EF5-516427BAE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18" y="136555"/>
          <a:ext cx="1315727" cy="5575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273338</xdr:colOff>
      <xdr:row>1</xdr:row>
      <xdr:rowOff>83215</xdr:rowOff>
    </xdr:from>
    <xdr:to>
      <xdr:col>2</xdr:col>
      <xdr:colOff>1238545</xdr:colOff>
      <xdr:row>4</xdr:row>
      <xdr:rowOff>99753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31CE68-63A5-438C-8372-E4EDD7620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18" y="136555"/>
          <a:ext cx="1315727" cy="5575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273338</xdr:colOff>
      <xdr:row>1</xdr:row>
      <xdr:rowOff>83215</xdr:rowOff>
    </xdr:from>
    <xdr:to>
      <xdr:col>2</xdr:col>
      <xdr:colOff>1238545</xdr:colOff>
      <xdr:row>4</xdr:row>
      <xdr:rowOff>99753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97046-FBAB-4EDD-B765-5A8B61E12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18" y="136555"/>
          <a:ext cx="1315727" cy="5575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273338</xdr:colOff>
      <xdr:row>1</xdr:row>
      <xdr:rowOff>83215</xdr:rowOff>
    </xdr:from>
    <xdr:to>
      <xdr:col>2</xdr:col>
      <xdr:colOff>1238545</xdr:colOff>
      <xdr:row>4</xdr:row>
      <xdr:rowOff>99753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AD9E16-7C69-42F9-A839-32151A66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18" y="136555"/>
          <a:ext cx="1315727" cy="557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21E4-E48D-4E17-BDBB-DD6EBA228D20}">
  <sheetPr>
    <pageSetUpPr fitToPage="1"/>
  </sheetPr>
  <dimension ref="B1:AA24"/>
  <sheetViews>
    <sheetView showGridLines="0" topLeftCell="O1" zoomScale="110" zoomScaleNormal="110" workbookViewId="0">
      <pane ySplit="7" topLeftCell="A8" activePane="bottomLeft" state="frozen"/>
      <selection activeCell="T26" sqref="T26"/>
      <selection pane="bottomLeft" activeCell="T26" sqref="T26"/>
    </sheetView>
  </sheetViews>
  <sheetFormatPr defaultColWidth="15" defaultRowHeight="18.75" customHeight="1" x14ac:dyDescent="0.25"/>
  <cols>
    <col min="1" max="1" width="1" style="1" customWidth="1"/>
    <col min="2" max="2" width="5.109375" style="1" customWidth="1"/>
    <col min="3" max="3" width="23.44140625" style="1" customWidth="1"/>
    <col min="4" max="4" width="28.77734375" style="1" customWidth="1"/>
    <col min="5" max="24" width="15.6640625" style="1" bestFit="1" customWidth="1"/>
    <col min="25" max="25" width="13.77734375" style="2" customWidth="1"/>
    <col min="26" max="26" width="6.77734375" style="1" customWidth="1"/>
    <col min="27" max="27" width="6.109375" style="1" customWidth="1"/>
    <col min="28" max="28" width="4.77734375" style="1" customWidth="1"/>
    <col min="29" max="29" width="3.77734375" style="1" customWidth="1"/>
    <col min="30" max="30" width="5.77734375" style="1" customWidth="1"/>
    <col min="31" max="31" width="8.109375" style="1" customWidth="1"/>
    <col min="32" max="32" width="7" style="1" customWidth="1"/>
    <col min="33" max="16384" width="15" style="1"/>
  </cols>
  <sheetData>
    <row r="1" spans="2:27" ht="4.5" customHeight="1" x14ac:dyDescent="0.25"/>
    <row r="2" spans="2:27" ht="11.25" customHeight="1" x14ac:dyDescent="0.25">
      <c r="B2" s="59"/>
      <c r="C2" s="59"/>
      <c r="D2" s="73" t="s">
        <v>0</v>
      </c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2:27" ht="10.5" customHeight="1" x14ac:dyDescent="0.25">
      <c r="B3" s="59"/>
      <c r="C3" s="59"/>
      <c r="D3" s="74" t="s">
        <v>1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2:27" ht="11.25" customHeight="1" x14ac:dyDescent="0.25">
      <c r="B4" s="59"/>
      <c r="C4" s="59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2:27" ht="12.75" customHeight="1" x14ac:dyDescent="0.25">
      <c r="B5" s="59"/>
      <c r="C5" s="59"/>
      <c r="D5" s="66" t="s">
        <v>2</v>
      </c>
      <c r="E5" s="23">
        <v>46027</v>
      </c>
      <c r="F5" s="23">
        <f>E5+1</f>
        <v>46028</v>
      </c>
      <c r="G5" s="23">
        <f>F5+1</f>
        <v>46029</v>
      </c>
      <c r="H5" s="23">
        <f>G5+1</f>
        <v>46030</v>
      </c>
      <c r="I5" s="23">
        <f>H5+1</f>
        <v>46031</v>
      </c>
      <c r="J5" s="22">
        <f>I5+3</f>
        <v>46034</v>
      </c>
      <c r="K5" s="22">
        <f>J5+1</f>
        <v>46035</v>
      </c>
      <c r="L5" s="22">
        <f>K5+1</f>
        <v>46036</v>
      </c>
      <c r="M5" s="22">
        <f>L5+1</f>
        <v>46037</v>
      </c>
      <c r="N5" s="22">
        <f>M5+1</f>
        <v>46038</v>
      </c>
      <c r="O5" s="22">
        <f>N5+3</f>
        <v>46041</v>
      </c>
      <c r="P5" s="22">
        <f>O5+1</f>
        <v>46042</v>
      </c>
      <c r="Q5" s="22">
        <f>P5+1</f>
        <v>46043</v>
      </c>
      <c r="R5" s="22">
        <f>Q5+1</f>
        <v>46044</v>
      </c>
      <c r="S5" s="22">
        <f>R5+1</f>
        <v>46045</v>
      </c>
      <c r="T5" s="22">
        <f>S5+3</f>
        <v>46048</v>
      </c>
      <c r="U5" s="22">
        <f>T5+1</f>
        <v>46049</v>
      </c>
      <c r="V5" s="22">
        <f>U5+1</f>
        <v>46050</v>
      </c>
      <c r="W5" s="22">
        <f>V5+1</f>
        <v>46051</v>
      </c>
      <c r="X5" s="22">
        <f>W5+1</f>
        <v>46052</v>
      </c>
      <c r="Y5" s="68" t="s">
        <v>3</v>
      </c>
      <c r="Z5" s="78" t="s">
        <v>4</v>
      </c>
    </row>
    <row r="6" spans="2:27" ht="15" customHeight="1" x14ac:dyDescent="0.25">
      <c r="B6" s="59"/>
      <c r="C6" s="59"/>
      <c r="D6" s="77"/>
      <c r="E6" s="14">
        <f>E5</f>
        <v>46027</v>
      </c>
      <c r="F6" s="14">
        <f t="shared" ref="F6:X6" si="0">F5</f>
        <v>46028</v>
      </c>
      <c r="G6" s="14">
        <f t="shared" si="0"/>
        <v>46029</v>
      </c>
      <c r="H6" s="14">
        <f t="shared" si="0"/>
        <v>46030</v>
      </c>
      <c r="I6" s="14">
        <f t="shared" si="0"/>
        <v>46031</v>
      </c>
      <c r="J6" s="14">
        <f t="shared" si="0"/>
        <v>46034</v>
      </c>
      <c r="K6" s="14">
        <f t="shared" si="0"/>
        <v>46035</v>
      </c>
      <c r="L6" s="14">
        <f t="shared" si="0"/>
        <v>46036</v>
      </c>
      <c r="M6" s="14">
        <f t="shared" si="0"/>
        <v>46037</v>
      </c>
      <c r="N6" s="14">
        <f t="shared" si="0"/>
        <v>46038</v>
      </c>
      <c r="O6" s="14">
        <f t="shared" si="0"/>
        <v>46041</v>
      </c>
      <c r="P6" s="14">
        <f t="shared" si="0"/>
        <v>46042</v>
      </c>
      <c r="Q6" s="14">
        <f t="shared" si="0"/>
        <v>46043</v>
      </c>
      <c r="R6" s="14">
        <f t="shared" si="0"/>
        <v>46044</v>
      </c>
      <c r="S6" s="14">
        <f t="shared" si="0"/>
        <v>46045</v>
      </c>
      <c r="T6" s="14">
        <f t="shared" si="0"/>
        <v>46048</v>
      </c>
      <c r="U6" s="14">
        <f t="shared" si="0"/>
        <v>46049</v>
      </c>
      <c r="V6" s="14">
        <f t="shared" si="0"/>
        <v>46050</v>
      </c>
      <c r="W6" s="14">
        <f t="shared" si="0"/>
        <v>46051</v>
      </c>
      <c r="X6" s="14">
        <f t="shared" si="0"/>
        <v>46052</v>
      </c>
      <c r="Y6" s="68"/>
      <c r="Z6" s="78"/>
    </row>
    <row r="7" spans="2:27" ht="14.25" customHeight="1" x14ac:dyDescent="0.25">
      <c r="B7" s="20" t="s">
        <v>5</v>
      </c>
      <c r="C7" s="20" t="s">
        <v>6</v>
      </c>
      <c r="D7" s="20" t="s">
        <v>7</v>
      </c>
      <c r="E7" s="21" t="s">
        <v>8</v>
      </c>
      <c r="F7" s="21" t="s">
        <v>8</v>
      </c>
      <c r="G7" s="21" t="s">
        <v>8</v>
      </c>
      <c r="H7" s="21" t="s">
        <v>8</v>
      </c>
      <c r="I7" s="21" t="s">
        <v>8</v>
      </c>
      <c r="J7" s="21" t="s">
        <v>8</v>
      </c>
      <c r="K7" s="21" t="s">
        <v>8</v>
      </c>
      <c r="L7" s="21" t="s">
        <v>8</v>
      </c>
      <c r="M7" s="21" t="s">
        <v>8</v>
      </c>
      <c r="N7" s="21" t="s">
        <v>8</v>
      </c>
      <c r="O7" s="21" t="s">
        <v>8</v>
      </c>
      <c r="P7" s="21" t="s">
        <v>8</v>
      </c>
      <c r="Q7" s="21" t="s">
        <v>8</v>
      </c>
      <c r="R7" s="21" t="s">
        <v>8</v>
      </c>
      <c r="S7" s="21" t="s">
        <v>8</v>
      </c>
      <c r="T7" s="21" t="s">
        <v>8</v>
      </c>
      <c r="U7" s="21" t="s">
        <v>8</v>
      </c>
      <c r="V7" s="21" t="s">
        <v>8</v>
      </c>
      <c r="W7" s="21" t="s">
        <v>8</v>
      </c>
      <c r="X7" s="21" t="s">
        <v>8</v>
      </c>
      <c r="Y7" s="69"/>
      <c r="Z7" s="79"/>
    </row>
    <row r="8" spans="2:27" ht="14.4" customHeight="1" x14ac:dyDescent="0.25">
      <c r="B8" s="3">
        <v>1</v>
      </c>
      <c r="C8" s="3" t="s">
        <v>9</v>
      </c>
      <c r="D8" s="4" t="s">
        <v>10</v>
      </c>
      <c r="E8" s="15">
        <v>3</v>
      </c>
      <c r="F8" s="15">
        <v>3</v>
      </c>
      <c r="G8" s="15">
        <v>3</v>
      </c>
      <c r="H8" s="15">
        <v>3</v>
      </c>
      <c r="I8" s="15">
        <v>3</v>
      </c>
      <c r="J8" s="15">
        <v>3</v>
      </c>
      <c r="K8" s="15">
        <v>3</v>
      </c>
      <c r="L8" s="15">
        <v>3</v>
      </c>
      <c r="M8" s="15">
        <v>3</v>
      </c>
      <c r="N8" s="15">
        <v>3</v>
      </c>
      <c r="O8" s="15">
        <v>3</v>
      </c>
      <c r="P8" s="15">
        <v>3</v>
      </c>
      <c r="Q8" s="15">
        <v>3</v>
      </c>
      <c r="R8" s="15">
        <v>3</v>
      </c>
      <c r="S8" s="15">
        <v>3</v>
      </c>
      <c r="T8" s="15">
        <v>3</v>
      </c>
      <c r="U8" s="15">
        <v>3</v>
      </c>
      <c r="V8" s="15">
        <v>3</v>
      </c>
      <c r="W8" s="15">
        <v>3</v>
      </c>
      <c r="X8" s="15">
        <v>3</v>
      </c>
      <c r="Y8" s="5">
        <f>COUNTA(E8:X8)</f>
        <v>20</v>
      </c>
      <c r="Z8" s="6">
        <f>SUM(E8:X8)</f>
        <v>60</v>
      </c>
      <c r="AA8" s="1">
        <f>Z8*10/60</f>
        <v>10</v>
      </c>
    </row>
    <row r="9" spans="2:27" ht="14.4" customHeight="1" x14ac:dyDescent="0.25">
      <c r="B9" s="3">
        <v>2</v>
      </c>
      <c r="C9" s="3" t="s">
        <v>11</v>
      </c>
      <c r="D9" s="4" t="s">
        <v>12</v>
      </c>
      <c r="E9" s="15">
        <v>7</v>
      </c>
      <c r="F9" s="15">
        <v>7</v>
      </c>
      <c r="G9" s="15">
        <v>7</v>
      </c>
      <c r="H9" s="15">
        <v>7</v>
      </c>
      <c r="I9" s="15">
        <v>7</v>
      </c>
      <c r="J9" s="15">
        <v>7</v>
      </c>
      <c r="K9" s="15">
        <v>7</v>
      </c>
      <c r="L9" s="15">
        <v>7</v>
      </c>
      <c r="M9" s="15">
        <v>7</v>
      </c>
      <c r="N9" s="15">
        <v>7</v>
      </c>
      <c r="O9" s="15">
        <v>7</v>
      </c>
      <c r="P9" s="15">
        <v>7</v>
      </c>
      <c r="Q9" s="15">
        <v>7</v>
      </c>
      <c r="R9" s="15">
        <v>7</v>
      </c>
      <c r="S9" s="15">
        <v>7</v>
      </c>
      <c r="T9" s="15">
        <v>7</v>
      </c>
      <c r="U9" s="15">
        <v>7</v>
      </c>
      <c r="V9" s="15">
        <v>7</v>
      </c>
      <c r="W9" s="15">
        <v>7</v>
      </c>
      <c r="X9" s="15">
        <v>7</v>
      </c>
      <c r="Y9" s="5">
        <f t="shared" ref="Y9:Y19" si="1">COUNTA(E9:X9)</f>
        <v>20</v>
      </c>
      <c r="Z9" s="6">
        <f t="shared" ref="Z9:Z19" si="2">SUM(E9:X9)</f>
        <v>140</v>
      </c>
      <c r="AA9" s="31">
        <f t="shared" ref="AA9:AA19" si="3">Z9*10/60</f>
        <v>23.333333333333332</v>
      </c>
    </row>
    <row r="10" spans="2:27" ht="14.4" customHeight="1" x14ac:dyDescent="0.25">
      <c r="B10" s="3">
        <v>3</v>
      </c>
      <c r="C10" s="3" t="s">
        <v>13</v>
      </c>
      <c r="D10" s="4" t="s">
        <v>14</v>
      </c>
      <c r="E10" s="15">
        <v>10</v>
      </c>
      <c r="F10" s="15">
        <v>10</v>
      </c>
      <c r="G10" s="15">
        <v>10</v>
      </c>
      <c r="H10" s="15">
        <v>10</v>
      </c>
      <c r="I10" s="15">
        <v>10</v>
      </c>
      <c r="J10" s="15">
        <v>10</v>
      </c>
      <c r="K10" s="15">
        <v>10</v>
      </c>
      <c r="L10" s="15">
        <v>10</v>
      </c>
      <c r="M10" s="15">
        <v>10</v>
      </c>
      <c r="N10" s="15">
        <v>10</v>
      </c>
      <c r="O10" s="15">
        <v>10</v>
      </c>
      <c r="P10" s="15">
        <v>10</v>
      </c>
      <c r="Q10" s="15">
        <v>10</v>
      </c>
      <c r="R10" s="15">
        <v>10</v>
      </c>
      <c r="S10" s="15">
        <v>10</v>
      </c>
      <c r="T10" s="15">
        <v>10</v>
      </c>
      <c r="U10" s="15">
        <v>10</v>
      </c>
      <c r="V10" s="15">
        <v>10</v>
      </c>
      <c r="W10" s="15">
        <v>10</v>
      </c>
      <c r="X10" s="15">
        <v>10</v>
      </c>
      <c r="Y10" s="5">
        <f t="shared" si="1"/>
        <v>20</v>
      </c>
      <c r="Z10" s="6">
        <f t="shared" si="2"/>
        <v>200</v>
      </c>
      <c r="AA10" s="1">
        <f t="shared" si="3"/>
        <v>33.333333333333336</v>
      </c>
    </row>
    <row r="11" spans="2:27" ht="14.4" customHeight="1" x14ac:dyDescent="0.25">
      <c r="B11" s="3">
        <v>4</v>
      </c>
      <c r="C11" s="3" t="s">
        <v>15</v>
      </c>
      <c r="D11" s="4" t="s">
        <v>16</v>
      </c>
      <c r="E11" s="15">
        <v>5</v>
      </c>
      <c r="F11" s="15">
        <v>5</v>
      </c>
      <c r="G11" s="15">
        <v>5</v>
      </c>
      <c r="H11" s="15">
        <v>5</v>
      </c>
      <c r="I11" s="15">
        <v>4</v>
      </c>
      <c r="J11" s="15">
        <v>5</v>
      </c>
      <c r="K11" s="15">
        <v>4</v>
      </c>
      <c r="L11" s="15">
        <v>5</v>
      </c>
      <c r="M11" s="15">
        <v>4</v>
      </c>
      <c r="N11" s="15">
        <v>5</v>
      </c>
      <c r="O11" s="15">
        <v>5</v>
      </c>
      <c r="P11" s="15">
        <v>5</v>
      </c>
      <c r="Q11" s="15">
        <v>4</v>
      </c>
      <c r="R11" s="15">
        <v>5</v>
      </c>
      <c r="S11" s="15">
        <v>5</v>
      </c>
      <c r="T11" s="15">
        <v>5</v>
      </c>
      <c r="U11" s="15">
        <v>3</v>
      </c>
      <c r="V11" s="15">
        <v>3</v>
      </c>
      <c r="W11" s="15">
        <v>3</v>
      </c>
      <c r="X11" s="15">
        <v>3</v>
      </c>
      <c r="Y11" s="5">
        <f t="shared" si="1"/>
        <v>20</v>
      </c>
      <c r="Z11" s="6">
        <f t="shared" si="2"/>
        <v>88</v>
      </c>
      <c r="AA11" s="1">
        <f t="shared" si="3"/>
        <v>14.666666666666666</v>
      </c>
    </row>
    <row r="12" spans="2:27" ht="14.4" customHeight="1" x14ac:dyDescent="0.25">
      <c r="B12" s="3">
        <v>5</v>
      </c>
      <c r="C12" s="3" t="s">
        <v>17</v>
      </c>
      <c r="D12" s="4" t="s">
        <v>18</v>
      </c>
      <c r="E12" s="15">
        <v>5</v>
      </c>
      <c r="F12" s="15">
        <v>5</v>
      </c>
      <c r="G12" s="15">
        <v>5</v>
      </c>
      <c r="H12" s="15">
        <v>5</v>
      </c>
      <c r="I12" s="15">
        <v>5</v>
      </c>
      <c r="J12" s="15">
        <v>5</v>
      </c>
      <c r="K12" s="15">
        <v>5</v>
      </c>
      <c r="L12" s="15">
        <v>5</v>
      </c>
      <c r="M12" s="15">
        <v>5</v>
      </c>
      <c r="N12" s="15">
        <v>5</v>
      </c>
      <c r="O12" s="15">
        <v>5</v>
      </c>
      <c r="P12" s="15">
        <v>5</v>
      </c>
      <c r="Q12" s="15">
        <v>5</v>
      </c>
      <c r="R12" s="15">
        <v>5</v>
      </c>
      <c r="S12" s="15">
        <v>5</v>
      </c>
      <c r="T12" s="15">
        <v>5</v>
      </c>
      <c r="U12" s="15">
        <v>5</v>
      </c>
      <c r="V12" s="15">
        <v>5</v>
      </c>
      <c r="W12" s="15">
        <v>5</v>
      </c>
      <c r="X12" s="15">
        <v>5</v>
      </c>
      <c r="Y12" s="5">
        <f t="shared" si="1"/>
        <v>20</v>
      </c>
      <c r="Z12" s="6">
        <f t="shared" si="2"/>
        <v>100</v>
      </c>
      <c r="AA12" s="1">
        <f t="shared" si="3"/>
        <v>16.666666666666668</v>
      </c>
    </row>
    <row r="13" spans="2:27" ht="14.4" customHeight="1" x14ac:dyDescent="0.25">
      <c r="B13" s="3">
        <v>6</v>
      </c>
      <c r="C13" s="3" t="s">
        <v>19</v>
      </c>
      <c r="D13" s="4" t="s">
        <v>14</v>
      </c>
      <c r="E13" s="15">
        <v>10</v>
      </c>
      <c r="F13" s="15">
        <v>10</v>
      </c>
      <c r="G13" s="15">
        <v>10</v>
      </c>
      <c r="H13" s="15">
        <v>9</v>
      </c>
      <c r="I13" s="15">
        <v>9</v>
      </c>
      <c r="J13" s="15">
        <v>10</v>
      </c>
      <c r="K13" s="15">
        <v>10</v>
      </c>
      <c r="L13" s="15">
        <v>9</v>
      </c>
      <c r="M13" s="15">
        <v>9</v>
      </c>
      <c r="N13" s="15">
        <v>9</v>
      </c>
      <c r="O13" s="15">
        <v>10</v>
      </c>
      <c r="P13" s="15">
        <v>10</v>
      </c>
      <c r="Q13" s="15">
        <v>9</v>
      </c>
      <c r="R13" s="15">
        <v>9</v>
      </c>
      <c r="S13" s="15">
        <v>9</v>
      </c>
      <c r="T13" s="15">
        <v>9</v>
      </c>
      <c r="U13" s="15">
        <v>10</v>
      </c>
      <c r="V13" s="15">
        <v>10</v>
      </c>
      <c r="W13" s="15">
        <v>10</v>
      </c>
      <c r="X13" s="15">
        <v>10</v>
      </c>
      <c r="Y13" s="5">
        <f t="shared" si="1"/>
        <v>20</v>
      </c>
      <c r="Z13" s="6">
        <f t="shared" si="2"/>
        <v>191</v>
      </c>
      <c r="AA13" s="31">
        <f t="shared" si="3"/>
        <v>31.833333333333332</v>
      </c>
    </row>
    <row r="14" spans="2:27" ht="14.4" customHeight="1" x14ac:dyDescent="0.25">
      <c r="B14" s="3">
        <v>7</v>
      </c>
      <c r="C14" s="3" t="s">
        <v>20</v>
      </c>
      <c r="D14" s="4" t="s">
        <v>21</v>
      </c>
      <c r="E14" s="15">
        <v>9</v>
      </c>
      <c r="F14" s="15">
        <v>9</v>
      </c>
      <c r="G14" s="15">
        <v>9</v>
      </c>
      <c r="H14" s="15">
        <v>9</v>
      </c>
      <c r="I14" s="15">
        <v>9</v>
      </c>
      <c r="J14" s="15">
        <v>9</v>
      </c>
      <c r="K14" s="15">
        <v>9</v>
      </c>
      <c r="L14" s="15">
        <v>9</v>
      </c>
      <c r="M14" s="15">
        <v>9</v>
      </c>
      <c r="N14" s="15">
        <v>9</v>
      </c>
      <c r="O14" s="15">
        <v>9</v>
      </c>
      <c r="P14" s="15">
        <v>9</v>
      </c>
      <c r="Q14" s="15">
        <v>9</v>
      </c>
      <c r="R14" s="15">
        <v>9</v>
      </c>
      <c r="S14" s="15">
        <v>9</v>
      </c>
      <c r="T14" s="15">
        <v>9</v>
      </c>
      <c r="U14" s="15">
        <v>9</v>
      </c>
      <c r="V14" s="15">
        <v>9</v>
      </c>
      <c r="W14" s="15">
        <v>9</v>
      </c>
      <c r="X14" s="15">
        <v>9</v>
      </c>
      <c r="Y14" s="5">
        <f t="shared" si="1"/>
        <v>20</v>
      </c>
      <c r="Z14" s="6">
        <f t="shared" si="2"/>
        <v>180</v>
      </c>
      <c r="AA14" s="31">
        <f t="shared" si="3"/>
        <v>30</v>
      </c>
    </row>
    <row r="15" spans="2:27" ht="14.4" customHeight="1" x14ac:dyDescent="0.25">
      <c r="B15" s="3">
        <v>8</v>
      </c>
      <c r="C15" s="3" t="s">
        <v>22</v>
      </c>
      <c r="D15" s="4" t="s">
        <v>23</v>
      </c>
      <c r="E15" s="15">
        <v>4</v>
      </c>
      <c r="F15" s="15">
        <v>4</v>
      </c>
      <c r="G15" s="15">
        <v>4</v>
      </c>
      <c r="H15" s="15">
        <v>4</v>
      </c>
      <c r="I15" s="15">
        <v>4</v>
      </c>
      <c r="J15" s="15">
        <v>4</v>
      </c>
      <c r="K15" s="15">
        <v>4</v>
      </c>
      <c r="L15" s="15">
        <v>4</v>
      </c>
      <c r="M15" s="15">
        <v>4</v>
      </c>
      <c r="N15" s="15">
        <v>4</v>
      </c>
      <c r="O15" s="15">
        <v>6</v>
      </c>
      <c r="P15" s="15">
        <v>6</v>
      </c>
      <c r="Q15" s="15">
        <v>6</v>
      </c>
      <c r="R15" s="15">
        <v>6</v>
      </c>
      <c r="S15" s="15">
        <v>6</v>
      </c>
      <c r="T15" s="15">
        <v>6</v>
      </c>
      <c r="U15" s="15">
        <v>6</v>
      </c>
      <c r="V15" s="15">
        <v>6</v>
      </c>
      <c r="W15" s="15">
        <v>6</v>
      </c>
      <c r="X15" s="15">
        <v>6</v>
      </c>
      <c r="Y15" s="5">
        <f t="shared" si="1"/>
        <v>20</v>
      </c>
      <c r="Z15" s="6">
        <f t="shared" si="2"/>
        <v>100</v>
      </c>
      <c r="AA15" s="31">
        <f t="shared" si="3"/>
        <v>16.666666666666668</v>
      </c>
    </row>
    <row r="16" spans="2:27" ht="14.4" customHeight="1" x14ac:dyDescent="0.25">
      <c r="B16" s="3">
        <v>9</v>
      </c>
      <c r="C16" s="3" t="s">
        <v>24</v>
      </c>
      <c r="D16" s="4" t="s">
        <v>14</v>
      </c>
      <c r="E16" s="15">
        <v>6</v>
      </c>
      <c r="F16" s="15">
        <v>6</v>
      </c>
      <c r="G16" s="15">
        <v>6</v>
      </c>
      <c r="H16" s="15">
        <v>6</v>
      </c>
      <c r="I16" s="15">
        <v>6</v>
      </c>
      <c r="J16" s="15">
        <v>6</v>
      </c>
      <c r="K16" s="15">
        <v>6</v>
      </c>
      <c r="L16" s="15">
        <v>6</v>
      </c>
      <c r="M16" s="15">
        <v>6</v>
      </c>
      <c r="N16" s="15">
        <v>6</v>
      </c>
      <c r="O16" s="15">
        <v>6</v>
      </c>
      <c r="P16" s="15">
        <v>6</v>
      </c>
      <c r="Q16" s="15">
        <v>6</v>
      </c>
      <c r="R16" s="15">
        <v>6</v>
      </c>
      <c r="S16" s="15">
        <v>6</v>
      </c>
      <c r="T16" s="15">
        <v>6</v>
      </c>
      <c r="U16" s="15">
        <v>8</v>
      </c>
      <c r="V16" s="15">
        <v>8</v>
      </c>
      <c r="W16" s="15">
        <v>8</v>
      </c>
      <c r="X16" s="15">
        <v>8</v>
      </c>
      <c r="Y16" s="5">
        <f t="shared" si="1"/>
        <v>20</v>
      </c>
      <c r="Z16" s="6">
        <f t="shared" si="2"/>
        <v>128</v>
      </c>
      <c r="AA16" s="31">
        <f>Z16*10/60</f>
        <v>21.333333333333332</v>
      </c>
    </row>
    <row r="17" spans="2:27" ht="14.4" customHeight="1" x14ac:dyDescent="0.25">
      <c r="B17" s="3">
        <v>10</v>
      </c>
      <c r="C17" s="3" t="s">
        <v>25</v>
      </c>
      <c r="D17" s="4" t="s">
        <v>14</v>
      </c>
      <c r="E17" s="15">
        <v>9</v>
      </c>
      <c r="F17" s="15">
        <v>9</v>
      </c>
      <c r="G17" s="15">
        <v>9</v>
      </c>
      <c r="H17" s="15">
        <v>9</v>
      </c>
      <c r="I17" s="15">
        <v>9</v>
      </c>
      <c r="J17" s="15">
        <v>9</v>
      </c>
      <c r="K17" s="15">
        <v>9</v>
      </c>
      <c r="L17" s="15">
        <v>9</v>
      </c>
      <c r="M17" s="15">
        <v>9</v>
      </c>
      <c r="N17" s="15">
        <v>9</v>
      </c>
      <c r="O17" s="15">
        <v>9</v>
      </c>
      <c r="P17" s="15">
        <v>9</v>
      </c>
      <c r="Q17" s="15">
        <v>9</v>
      </c>
      <c r="R17" s="15">
        <v>9</v>
      </c>
      <c r="S17" s="15">
        <v>9</v>
      </c>
      <c r="T17" s="15">
        <v>9</v>
      </c>
      <c r="U17" s="15">
        <v>9</v>
      </c>
      <c r="V17" s="15">
        <v>9</v>
      </c>
      <c r="W17" s="15">
        <v>9</v>
      </c>
      <c r="X17" s="15">
        <v>9</v>
      </c>
      <c r="Y17" s="5">
        <f t="shared" si="1"/>
        <v>20</v>
      </c>
      <c r="Z17" s="6">
        <f t="shared" si="2"/>
        <v>180</v>
      </c>
      <c r="AA17" s="1">
        <f>Z17*10/60</f>
        <v>30</v>
      </c>
    </row>
    <row r="18" spans="2:27" ht="14.4" customHeight="1" x14ac:dyDescent="0.25">
      <c r="B18" s="3">
        <v>11</v>
      </c>
      <c r="C18" s="3" t="s">
        <v>26</v>
      </c>
      <c r="D18" s="4" t="s">
        <v>27</v>
      </c>
      <c r="E18" s="15">
        <v>3</v>
      </c>
      <c r="F18" s="15">
        <v>3</v>
      </c>
      <c r="G18" s="15">
        <v>3</v>
      </c>
      <c r="H18" s="15">
        <v>3</v>
      </c>
      <c r="I18" s="15">
        <v>3</v>
      </c>
      <c r="J18" s="15">
        <v>3</v>
      </c>
      <c r="K18" s="15">
        <v>3</v>
      </c>
      <c r="L18" s="15">
        <v>3</v>
      </c>
      <c r="M18" s="15">
        <v>3</v>
      </c>
      <c r="N18" s="15">
        <v>3</v>
      </c>
      <c r="O18" s="15">
        <v>3</v>
      </c>
      <c r="P18" s="15">
        <v>3</v>
      </c>
      <c r="Q18" s="15">
        <v>3</v>
      </c>
      <c r="R18" s="15">
        <v>3</v>
      </c>
      <c r="S18" s="15">
        <v>3</v>
      </c>
      <c r="T18" s="15">
        <v>3</v>
      </c>
      <c r="U18" s="15">
        <v>3</v>
      </c>
      <c r="V18" s="15">
        <v>3</v>
      </c>
      <c r="W18" s="15">
        <v>3</v>
      </c>
      <c r="X18" s="15">
        <v>3</v>
      </c>
      <c r="Y18" s="5">
        <f t="shared" si="1"/>
        <v>20</v>
      </c>
      <c r="Z18" s="6">
        <f t="shared" si="2"/>
        <v>60</v>
      </c>
      <c r="AA18" s="1">
        <f t="shared" si="3"/>
        <v>10</v>
      </c>
    </row>
    <row r="19" spans="2:27" ht="14.4" customHeight="1" x14ac:dyDescent="0.25">
      <c r="B19" s="3">
        <v>12</v>
      </c>
      <c r="C19" s="3" t="s">
        <v>28</v>
      </c>
      <c r="D19" s="4" t="s">
        <v>14</v>
      </c>
      <c r="E19" s="15">
        <v>8</v>
      </c>
      <c r="F19" s="15">
        <v>8</v>
      </c>
      <c r="G19" s="15">
        <v>8</v>
      </c>
      <c r="H19" s="15">
        <v>8</v>
      </c>
      <c r="I19" s="15">
        <v>8</v>
      </c>
      <c r="J19" s="15">
        <v>8</v>
      </c>
      <c r="K19" s="15">
        <v>8</v>
      </c>
      <c r="L19" s="15">
        <v>6</v>
      </c>
      <c r="M19" s="15">
        <v>6</v>
      </c>
      <c r="N19" s="15">
        <v>6</v>
      </c>
      <c r="O19" s="15">
        <v>6</v>
      </c>
      <c r="P19" s="15">
        <v>6</v>
      </c>
      <c r="Q19" s="15">
        <v>6</v>
      </c>
      <c r="R19" s="15">
        <v>6</v>
      </c>
      <c r="S19" s="15">
        <v>6</v>
      </c>
      <c r="T19" s="15">
        <v>6</v>
      </c>
      <c r="U19" s="15">
        <v>6</v>
      </c>
      <c r="V19" s="15">
        <v>6</v>
      </c>
      <c r="W19" s="15">
        <v>6</v>
      </c>
      <c r="X19" s="15">
        <v>6</v>
      </c>
      <c r="Y19" s="5">
        <f t="shared" si="1"/>
        <v>20</v>
      </c>
      <c r="Z19" s="6">
        <f t="shared" si="2"/>
        <v>134</v>
      </c>
      <c r="AA19" s="31">
        <f t="shared" si="3"/>
        <v>22.333333333333332</v>
      </c>
    </row>
    <row r="20" spans="2:27" s="27" customFormat="1" ht="12" customHeight="1" thickBot="1" x14ac:dyDescent="0.3">
      <c r="D20" s="28"/>
      <c r="E20" s="29">
        <f>SUM(E8:E19)*10/60</f>
        <v>13.166666666666666</v>
      </c>
      <c r="F20" s="29">
        <f>SUM(F8:F19)*10/60</f>
        <v>13.166666666666666</v>
      </c>
      <c r="G20" s="29">
        <f t="shared" ref="G20:X20" si="4">SUM(G8:G19)*10/60</f>
        <v>13.166666666666666</v>
      </c>
      <c r="H20" s="29">
        <f t="shared" si="4"/>
        <v>13</v>
      </c>
      <c r="I20" s="29">
        <f t="shared" si="4"/>
        <v>12.833333333333334</v>
      </c>
      <c r="J20" s="29">
        <f t="shared" si="4"/>
        <v>13.166666666666666</v>
      </c>
      <c r="K20" s="29">
        <f t="shared" si="4"/>
        <v>13</v>
      </c>
      <c r="L20" s="29">
        <f t="shared" si="4"/>
        <v>12.666666666666666</v>
      </c>
      <c r="M20" s="29">
        <f t="shared" si="4"/>
        <v>12.5</v>
      </c>
      <c r="N20" s="29">
        <f t="shared" si="4"/>
        <v>12.666666666666666</v>
      </c>
      <c r="O20" s="29">
        <f t="shared" si="4"/>
        <v>13.166666666666666</v>
      </c>
      <c r="P20" s="29">
        <f t="shared" si="4"/>
        <v>13.166666666666666</v>
      </c>
      <c r="Q20" s="29">
        <f t="shared" si="4"/>
        <v>12.833333333333334</v>
      </c>
      <c r="R20" s="29">
        <f t="shared" si="4"/>
        <v>13</v>
      </c>
      <c r="S20" s="29">
        <f t="shared" si="4"/>
        <v>13</v>
      </c>
      <c r="T20" s="29">
        <f t="shared" si="4"/>
        <v>13</v>
      </c>
      <c r="U20" s="29">
        <f t="shared" si="4"/>
        <v>13.166666666666666</v>
      </c>
      <c r="V20" s="29">
        <f t="shared" si="4"/>
        <v>13.166666666666666</v>
      </c>
      <c r="W20" s="29">
        <f t="shared" si="4"/>
        <v>13.166666666666666</v>
      </c>
      <c r="X20" s="29">
        <f t="shared" si="4"/>
        <v>13.166666666666666</v>
      </c>
      <c r="Y20" s="32">
        <f>SUM(E20:X20)</f>
        <v>260.16666666666663</v>
      </c>
      <c r="Z20" s="30"/>
    </row>
    <row r="21" spans="2:27" ht="26.25" customHeight="1" x14ac:dyDescent="0.25">
      <c r="D21" s="7" t="s">
        <v>29</v>
      </c>
      <c r="E21" s="16">
        <f t="shared" ref="E21:X21" si="5">COUNT(E8:E19)</f>
        <v>12</v>
      </c>
      <c r="F21" s="16">
        <f t="shared" si="5"/>
        <v>12</v>
      </c>
      <c r="G21" s="16">
        <f t="shared" si="5"/>
        <v>12</v>
      </c>
      <c r="H21" s="16">
        <f t="shared" si="5"/>
        <v>12</v>
      </c>
      <c r="I21" s="16">
        <f t="shared" si="5"/>
        <v>12</v>
      </c>
      <c r="J21" s="16">
        <f t="shared" si="5"/>
        <v>12</v>
      </c>
      <c r="K21" s="16">
        <f t="shared" si="5"/>
        <v>12</v>
      </c>
      <c r="L21" s="16">
        <f t="shared" si="5"/>
        <v>12</v>
      </c>
      <c r="M21" s="16">
        <f t="shared" si="5"/>
        <v>12</v>
      </c>
      <c r="N21" s="16">
        <f t="shared" si="5"/>
        <v>12</v>
      </c>
      <c r="O21" s="16">
        <f t="shared" si="5"/>
        <v>12</v>
      </c>
      <c r="P21" s="16">
        <f t="shared" si="5"/>
        <v>12</v>
      </c>
      <c r="Q21" s="16">
        <f t="shared" si="5"/>
        <v>12</v>
      </c>
      <c r="R21" s="16">
        <f t="shared" si="5"/>
        <v>12</v>
      </c>
      <c r="S21" s="16">
        <f t="shared" si="5"/>
        <v>12</v>
      </c>
      <c r="T21" s="16">
        <f t="shared" si="5"/>
        <v>12</v>
      </c>
      <c r="U21" s="16">
        <f t="shared" si="5"/>
        <v>12</v>
      </c>
      <c r="V21" s="16">
        <f t="shared" si="5"/>
        <v>12</v>
      </c>
      <c r="W21" s="16">
        <f t="shared" si="5"/>
        <v>12</v>
      </c>
      <c r="X21" s="16">
        <f t="shared" si="5"/>
        <v>12</v>
      </c>
      <c r="Y21" s="24" t="s">
        <v>30</v>
      </c>
      <c r="Z21" s="8" t="s">
        <v>30</v>
      </c>
    </row>
    <row r="22" spans="2:27" ht="28.5" customHeight="1" x14ac:dyDescent="0.25">
      <c r="D22" s="9" t="s">
        <v>31</v>
      </c>
      <c r="E22" s="17">
        <f t="shared" ref="E22:X22" si="6">COUNT(E8:E19)</f>
        <v>12</v>
      </c>
      <c r="F22" s="17">
        <f t="shared" si="6"/>
        <v>12</v>
      </c>
      <c r="G22" s="17">
        <f t="shared" si="6"/>
        <v>12</v>
      </c>
      <c r="H22" s="17">
        <f t="shared" si="6"/>
        <v>12</v>
      </c>
      <c r="I22" s="17">
        <f t="shared" si="6"/>
        <v>12</v>
      </c>
      <c r="J22" s="17">
        <f t="shared" si="6"/>
        <v>12</v>
      </c>
      <c r="K22" s="17">
        <f t="shared" si="6"/>
        <v>12</v>
      </c>
      <c r="L22" s="17">
        <f t="shared" si="6"/>
        <v>12</v>
      </c>
      <c r="M22" s="17">
        <f t="shared" si="6"/>
        <v>12</v>
      </c>
      <c r="N22" s="17">
        <f t="shared" si="6"/>
        <v>12</v>
      </c>
      <c r="O22" s="17">
        <f t="shared" si="6"/>
        <v>12</v>
      </c>
      <c r="P22" s="17">
        <f t="shared" si="6"/>
        <v>12</v>
      </c>
      <c r="Q22" s="17">
        <f t="shared" si="6"/>
        <v>12</v>
      </c>
      <c r="R22" s="17">
        <f t="shared" si="6"/>
        <v>12</v>
      </c>
      <c r="S22" s="17">
        <f t="shared" si="6"/>
        <v>12</v>
      </c>
      <c r="T22" s="17">
        <f t="shared" si="6"/>
        <v>12</v>
      </c>
      <c r="U22" s="17">
        <f t="shared" si="6"/>
        <v>12</v>
      </c>
      <c r="V22" s="17">
        <f t="shared" si="6"/>
        <v>12</v>
      </c>
      <c r="W22" s="17">
        <f t="shared" si="6"/>
        <v>12</v>
      </c>
      <c r="X22" s="17">
        <f t="shared" si="6"/>
        <v>12</v>
      </c>
      <c r="Y22" s="25" t="s">
        <v>30</v>
      </c>
      <c r="Z22" s="10">
        <f>SUM(E22:X22)</f>
        <v>240</v>
      </c>
    </row>
    <row r="23" spans="2:27" ht="23.25" customHeight="1" x14ac:dyDescent="0.25">
      <c r="D23" s="9" t="s">
        <v>32</v>
      </c>
      <c r="E23" s="18">
        <f t="shared" ref="E23:X23" si="7">SUM(E8:E19)</f>
        <v>79</v>
      </c>
      <c r="F23" s="18">
        <f t="shared" si="7"/>
        <v>79</v>
      </c>
      <c r="G23" s="18">
        <f t="shared" si="7"/>
        <v>79</v>
      </c>
      <c r="H23" s="18">
        <f t="shared" si="7"/>
        <v>78</v>
      </c>
      <c r="I23" s="18">
        <f t="shared" si="7"/>
        <v>77</v>
      </c>
      <c r="J23" s="18">
        <f t="shared" si="7"/>
        <v>79</v>
      </c>
      <c r="K23" s="18">
        <f t="shared" si="7"/>
        <v>78</v>
      </c>
      <c r="L23" s="18">
        <f t="shared" si="7"/>
        <v>76</v>
      </c>
      <c r="M23" s="18">
        <f t="shared" si="7"/>
        <v>75</v>
      </c>
      <c r="N23" s="18">
        <f t="shared" si="7"/>
        <v>76</v>
      </c>
      <c r="O23" s="18">
        <f t="shared" si="7"/>
        <v>79</v>
      </c>
      <c r="P23" s="18">
        <f t="shared" si="7"/>
        <v>79</v>
      </c>
      <c r="Q23" s="18">
        <f t="shared" si="7"/>
        <v>77</v>
      </c>
      <c r="R23" s="18">
        <f t="shared" si="7"/>
        <v>78</v>
      </c>
      <c r="S23" s="18">
        <f t="shared" si="7"/>
        <v>78</v>
      </c>
      <c r="T23" s="18">
        <f t="shared" si="7"/>
        <v>78</v>
      </c>
      <c r="U23" s="18">
        <f t="shared" si="7"/>
        <v>79</v>
      </c>
      <c r="V23" s="18">
        <f t="shared" si="7"/>
        <v>79</v>
      </c>
      <c r="W23" s="18">
        <f t="shared" si="7"/>
        <v>79</v>
      </c>
      <c r="X23" s="18">
        <f t="shared" si="7"/>
        <v>79</v>
      </c>
      <c r="Y23" s="25" t="s">
        <v>30</v>
      </c>
      <c r="Z23" s="11">
        <f>SUM(E23:X23)</f>
        <v>1561</v>
      </c>
    </row>
    <row r="24" spans="2:27" ht="23.25" customHeight="1" thickBot="1" x14ac:dyDescent="0.3">
      <c r="D24" s="12" t="s">
        <v>33</v>
      </c>
      <c r="E24" s="19">
        <f>E22*10/60</f>
        <v>2</v>
      </c>
      <c r="F24" s="19">
        <f t="shared" ref="F24:X24" si="8">F22*10/60</f>
        <v>2</v>
      </c>
      <c r="G24" s="19">
        <f t="shared" si="8"/>
        <v>2</v>
      </c>
      <c r="H24" s="19">
        <f t="shared" si="8"/>
        <v>2</v>
      </c>
      <c r="I24" s="19">
        <f t="shared" si="8"/>
        <v>2</v>
      </c>
      <c r="J24" s="19">
        <f t="shared" si="8"/>
        <v>2</v>
      </c>
      <c r="K24" s="19">
        <f t="shared" si="8"/>
        <v>2</v>
      </c>
      <c r="L24" s="19">
        <f t="shared" si="8"/>
        <v>2</v>
      </c>
      <c r="M24" s="19">
        <f t="shared" si="8"/>
        <v>2</v>
      </c>
      <c r="N24" s="19">
        <f t="shared" si="8"/>
        <v>2</v>
      </c>
      <c r="O24" s="19">
        <f t="shared" si="8"/>
        <v>2</v>
      </c>
      <c r="P24" s="19">
        <f t="shared" si="8"/>
        <v>2</v>
      </c>
      <c r="Q24" s="19">
        <f t="shared" si="8"/>
        <v>2</v>
      </c>
      <c r="R24" s="19">
        <f t="shared" si="8"/>
        <v>2</v>
      </c>
      <c r="S24" s="19">
        <f t="shared" si="8"/>
        <v>2</v>
      </c>
      <c r="T24" s="19">
        <f t="shared" si="8"/>
        <v>2</v>
      </c>
      <c r="U24" s="19">
        <f t="shared" si="8"/>
        <v>2</v>
      </c>
      <c r="V24" s="19">
        <f t="shared" si="8"/>
        <v>2</v>
      </c>
      <c r="W24" s="19">
        <f t="shared" si="8"/>
        <v>2</v>
      </c>
      <c r="X24" s="19">
        <f t="shared" si="8"/>
        <v>2</v>
      </c>
      <c r="Y24" s="26"/>
      <c r="Z24" s="13">
        <f>SUM(E24:X24)</f>
        <v>40</v>
      </c>
    </row>
  </sheetData>
  <mergeCells count="7">
    <mergeCell ref="B2:C6"/>
    <mergeCell ref="D2:Z2"/>
    <mergeCell ref="D3:Z3"/>
    <mergeCell ref="D4:Z4"/>
    <mergeCell ref="D5:D6"/>
    <mergeCell ref="Y5:Y7"/>
    <mergeCell ref="Z5:Z7"/>
  </mergeCells>
  <pageMargins left="0.7" right="0.7" top="0.75" bottom="0.75" header="0.3" footer="0.3"/>
  <pageSetup scale="5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F420-BFD7-4205-A529-14B56BC74B37}">
  <sheetPr>
    <pageSetUpPr fitToPage="1"/>
  </sheetPr>
  <dimension ref="B1:AA24"/>
  <sheetViews>
    <sheetView showGridLines="0" topLeftCell="R1" zoomScale="110" zoomScaleNormal="110" workbookViewId="0">
      <pane ySplit="7" topLeftCell="A8" activePane="bottomLeft" state="frozen"/>
      <selection activeCell="T26" sqref="T26"/>
      <selection pane="bottomLeft" activeCell="T26" sqref="T26"/>
    </sheetView>
  </sheetViews>
  <sheetFormatPr defaultColWidth="15" defaultRowHeight="18.75" customHeight="1" x14ac:dyDescent="0.25"/>
  <cols>
    <col min="1" max="1" width="1" style="1" customWidth="1"/>
    <col min="2" max="2" width="5.109375" style="1" customWidth="1"/>
    <col min="3" max="3" width="23.44140625" style="1" customWidth="1"/>
    <col min="4" max="4" width="28.77734375" style="1" customWidth="1"/>
    <col min="5" max="21" width="15.6640625" style="1" bestFit="1" customWidth="1"/>
    <col min="22" max="24" width="15.6640625" style="1" customWidth="1"/>
    <col min="25" max="25" width="13.77734375" style="2" customWidth="1"/>
    <col min="26" max="26" width="6.77734375" style="1" customWidth="1"/>
    <col min="27" max="27" width="6.109375" style="1" customWidth="1"/>
    <col min="28" max="28" width="4.77734375" style="1" customWidth="1"/>
    <col min="29" max="29" width="3.77734375" style="1" customWidth="1"/>
    <col min="30" max="30" width="5.77734375" style="1" customWidth="1"/>
    <col min="31" max="31" width="8.109375" style="1" customWidth="1"/>
    <col min="32" max="32" width="7" style="1" customWidth="1"/>
    <col min="33" max="16384" width="15" style="1"/>
  </cols>
  <sheetData>
    <row r="1" spans="2:27" ht="4.5" customHeight="1" x14ac:dyDescent="0.25"/>
    <row r="2" spans="2:27" s="42" customFormat="1" ht="16.2" customHeight="1" x14ac:dyDescent="0.25">
      <c r="B2" s="59"/>
      <c r="C2" s="59"/>
      <c r="D2" s="80" t="s">
        <v>34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spans="2:27" s="41" customFormat="1" ht="15.6" customHeight="1" x14ac:dyDescent="0.25">
      <c r="B3" s="59"/>
      <c r="C3" s="59"/>
      <c r="D3" s="37"/>
      <c r="E3" s="44" t="str">
        <f>"SEMANA 01: " &amp; SUM(E8:I19)</f>
        <v>SEMANA 01: 331</v>
      </c>
      <c r="F3" s="38"/>
      <c r="G3" s="38"/>
      <c r="H3" s="38"/>
      <c r="I3" s="43"/>
      <c r="J3" s="44" t="str">
        <f>"SEMANA 02: " &amp; SUM(J8:N19)</f>
        <v>SEMANA 02: 332</v>
      </c>
      <c r="K3" s="38"/>
      <c r="L3" s="38"/>
      <c r="M3" s="38"/>
      <c r="N3" s="43"/>
      <c r="O3" s="44" t="str">
        <f>"SEMANA 03: "&amp;SUM(O8:S19)</f>
        <v>SEMANA 03: 193</v>
      </c>
      <c r="P3" s="38"/>
      <c r="Q3" s="38"/>
      <c r="R3" s="38"/>
      <c r="S3" s="43"/>
      <c r="T3" s="44" t="str">
        <f>"SEMANA 04: "&amp;SUM(T8:X19)</f>
        <v>SEMANA 04: 356</v>
      </c>
      <c r="U3" s="38"/>
      <c r="V3" s="38"/>
      <c r="W3" s="38"/>
      <c r="X3" s="38"/>
      <c r="Y3" s="39"/>
      <c r="Z3" s="40"/>
    </row>
    <row r="4" spans="2:27" ht="11.25" customHeight="1" x14ac:dyDescent="0.25">
      <c r="B4" s="59"/>
      <c r="C4" s="59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2:27" ht="12.75" customHeight="1" x14ac:dyDescent="0.25">
      <c r="B5" s="59"/>
      <c r="C5" s="59"/>
      <c r="D5" s="66" t="s">
        <v>2</v>
      </c>
      <c r="E5" s="23">
        <v>46055</v>
      </c>
      <c r="F5" s="23">
        <f>E5+1</f>
        <v>46056</v>
      </c>
      <c r="G5" s="23">
        <f>F5+1</f>
        <v>46057</v>
      </c>
      <c r="H5" s="23">
        <f>G5+1</f>
        <v>46058</v>
      </c>
      <c r="I5" s="23">
        <f>H5+1</f>
        <v>46059</v>
      </c>
      <c r="J5" s="22">
        <f>I5+3</f>
        <v>46062</v>
      </c>
      <c r="K5" s="22">
        <f>J5+1</f>
        <v>46063</v>
      </c>
      <c r="L5" s="22">
        <f>K5+1</f>
        <v>46064</v>
      </c>
      <c r="M5" s="22">
        <f>L5+1</f>
        <v>46065</v>
      </c>
      <c r="N5" s="22">
        <f>M5+1</f>
        <v>46066</v>
      </c>
      <c r="O5" s="22">
        <f>N5+3</f>
        <v>46069</v>
      </c>
      <c r="P5" s="22">
        <f>O5+1</f>
        <v>46070</v>
      </c>
      <c r="Q5" s="22">
        <f>P5+1</f>
        <v>46071</v>
      </c>
      <c r="R5" s="22">
        <f>Q5+1</f>
        <v>46072</v>
      </c>
      <c r="S5" s="22">
        <f>R5+1</f>
        <v>46073</v>
      </c>
      <c r="T5" s="22">
        <f>S5+3</f>
        <v>46076</v>
      </c>
      <c r="U5" s="22">
        <f>T5+1</f>
        <v>46077</v>
      </c>
      <c r="V5" s="22">
        <f t="shared" ref="V5:W5" si="0">U5+1</f>
        <v>46078</v>
      </c>
      <c r="W5" s="22">
        <f t="shared" si="0"/>
        <v>46079</v>
      </c>
      <c r="X5" s="22">
        <f>W5+1</f>
        <v>46080</v>
      </c>
      <c r="Y5" s="67" t="s">
        <v>3</v>
      </c>
      <c r="Z5" s="70" t="s">
        <v>4</v>
      </c>
    </row>
    <row r="6" spans="2:27" ht="15" customHeight="1" x14ac:dyDescent="0.25">
      <c r="B6" s="59"/>
      <c r="C6" s="59"/>
      <c r="D6" s="77"/>
      <c r="E6" s="14">
        <f>E5</f>
        <v>46055</v>
      </c>
      <c r="F6" s="14">
        <f t="shared" ref="F6:W6" si="1">F5</f>
        <v>46056</v>
      </c>
      <c r="G6" s="14">
        <f t="shared" si="1"/>
        <v>46057</v>
      </c>
      <c r="H6" s="14">
        <f t="shared" si="1"/>
        <v>46058</v>
      </c>
      <c r="I6" s="14">
        <f t="shared" si="1"/>
        <v>46059</v>
      </c>
      <c r="J6" s="14">
        <f t="shared" si="1"/>
        <v>46062</v>
      </c>
      <c r="K6" s="14">
        <f t="shared" si="1"/>
        <v>46063</v>
      </c>
      <c r="L6" s="14">
        <f t="shared" si="1"/>
        <v>46064</v>
      </c>
      <c r="M6" s="14">
        <f t="shared" si="1"/>
        <v>46065</v>
      </c>
      <c r="N6" s="14">
        <f t="shared" si="1"/>
        <v>46066</v>
      </c>
      <c r="O6" s="14">
        <f t="shared" si="1"/>
        <v>46069</v>
      </c>
      <c r="P6" s="14">
        <f t="shared" si="1"/>
        <v>46070</v>
      </c>
      <c r="Q6" s="14">
        <f t="shared" si="1"/>
        <v>46071</v>
      </c>
      <c r="R6" s="14">
        <f t="shared" si="1"/>
        <v>46072</v>
      </c>
      <c r="S6" s="14">
        <f t="shared" si="1"/>
        <v>46073</v>
      </c>
      <c r="T6" s="14">
        <f t="shared" si="1"/>
        <v>46076</v>
      </c>
      <c r="U6" s="14">
        <f t="shared" si="1"/>
        <v>46077</v>
      </c>
      <c r="V6" s="14">
        <f t="shared" si="1"/>
        <v>46078</v>
      </c>
      <c r="W6" s="14">
        <f t="shared" si="1"/>
        <v>46079</v>
      </c>
      <c r="X6" s="14">
        <f>X5</f>
        <v>46080</v>
      </c>
      <c r="Y6" s="68"/>
      <c r="Z6" s="71"/>
    </row>
    <row r="7" spans="2:27" ht="14.25" customHeight="1" x14ac:dyDescent="0.25">
      <c r="B7" s="20" t="s">
        <v>5</v>
      </c>
      <c r="C7" s="20" t="s">
        <v>6</v>
      </c>
      <c r="D7" s="20" t="s">
        <v>7</v>
      </c>
      <c r="E7" s="21" t="s">
        <v>8</v>
      </c>
      <c r="F7" s="21" t="s">
        <v>8</v>
      </c>
      <c r="G7" s="21" t="s">
        <v>8</v>
      </c>
      <c r="H7" s="21" t="s">
        <v>8</v>
      </c>
      <c r="I7" s="21" t="s">
        <v>8</v>
      </c>
      <c r="J7" s="21" t="s">
        <v>8</v>
      </c>
      <c r="K7" s="21" t="s">
        <v>8</v>
      </c>
      <c r="L7" s="21" t="s">
        <v>8</v>
      </c>
      <c r="M7" s="21" t="s">
        <v>8</v>
      </c>
      <c r="N7" s="21" t="s">
        <v>8</v>
      </c>
      <c r="O7" s="21" t="s">
        <v>8</v>
      </c>
      <c r="P7" s="21" t="s">
        <v>8</v>
      </c>
      <c r="Q7" s="21" t="s">
        <v>8</v>
      </c>
      <c r="R7" s="21" t="s">
        <v>8</v>
      </c>
      <c r="S7" s="21" t="s">
        <v>8</v>
      </c>
      <c r="T7" s="21" t="s">
        <v>8</v>
      </c>
      <c r="U7" s="21" t="s">
        <v>8</v>
      </c>
      <c r="V7" s="33"/>
      <c r="W7" s="33"/>
      <c r="X7" s="33"/>
      <c r="Y7" s="69"/>
      <c r="Z7" s="72"/>
    </row>
    <row r="8" spans="2:27" ht="16.95" customHeight="1" x14ac:dyDescent="0.25">
      <c r="B8" s="3">
        <v>1</v>
      </c>
      <c r="C8" s="3" t="s">
        <v>9</v>
      </c>
      <c r="D8" s="4" t="s">
        <v>10</v>
      </c>
      <c r="E8" s="15">
        <v>3</v>
      </c>
      <c r="F8" s="15">
        <v>3</v>
      </c>
      <c r="G8" s="15">
        <v>3</v>
      </c>
      <c r="H8" s="15">
        <v>3</v>
      </c>
      <c r="I8" s="15">
        <v>3</v>
      </c>
      <c r="J8" s="15">
        <v>3</v>
      </c>
      <c r="K8" s="15">
        <v>3</v>
      </c>
      <c r="L8" s="15">
        <v>3</v>
      </c>
      <c r="M8" s="15">
        <v>3</v>
      </c>
      <c r="N8" s="15">
        <v>3</v>
      </c>
      <c r="O8" s="34"/>
      <c r="P8" s="34"/>
      <c r="Q8" s="15">
        <v>3</v>
      </c>
      <c r="R8" s="15">
        <v>3</v>
      </c>
      <c r="S8" s="15">
        <v>3</v>
      </c>
      <c r="T8" s="15">
        <v>3</v>
      </c>
      <c r="U8" s="15">
        <v>3</v>
      </c>
      <c r="V8" s="15">
        <v>3</v>
      </c>
      <c r="W8" s="15">
        <v>3</v>
      </c>
      <c r="X8" s="15">
        <v>3</v>
      </c>
      <c r="Y8" s="5">
        <f t="shared" ref="Y8:Y19" si="2">COUNTA(E8:X8)</f>
        <v>18</v>
      </c>
      <c r="Z8" s="6">
        <f t="shared" ref="Z8:Z19" si="3">SUM(E8:X8)</f>
        <v>54</v>
      </c>
      <c r="AA8" s="1">
        <f>Z8*10/60</f>
        <v>9</v>
      </c>
    </row>
    <row r="9" spans="2:27" ht="16.95" customHeight="1" x14ac:dyDescent="0.25">
      <c r="B9" s="3">
        <v>2</v>
      </c>
      <c r="C9" s="3" t="s">
        <v>11</v>
      </c>
      <c r="D9" s="4" t="s">
        <v>12</v>
      </c>
      <c r="E9" s="15">
        <v>3</v>
      </c>
      <c r="F9" s="15">
        <v>2</v>
      </c>
      <c r="G9" s="15">
        <v>3</v>
      </c>
      <c r="H9" s="15">
        <v>2</v>
      </c>
      <c r="I9" s="15">
        <v>3</v>
      </c>
      <c r="J9" s="15">
        <v>3</v>
      </c>
      <c r="K9" s="15">
        <v>5</v>
      </c>
      <c r="L9" s="15">
        <v>3</v>
      </c>
      <c r="M9" s="15">
        <v>5</v>
      </c>
      <c r="N9" s="15">
        <v>3</v>
      </c>
      <c r="O9" s="34"/>
      <c r="P9" s="34"/>
      <c r="Q9" s="15">
        <v>5</v>
      </c>
      <c r="R9" s="15">
        <v>3</v>
      </c>
      <c r="S9" s="15">
        <v>5</v>
      </c>
      <c r="T9" s="15">
        <v>5</v>
      </c>
      <c r="U9" s="15">
        <v>7</v>
      </c>
      <c r="V9" s="15">
        <v>5</v>
      </c>
      <c r="W9" s="15">
        <v>7</v>
      </c>
      <c r="X9" s="15">
        <v>5</v>
      </c>
      <c r="Y9" s="5">
        <f t="shared" si="2"/>
        <v>18</v>
      </c>
      <c r="Z9" s="6">
        <f t="shared" si="3"/>
        <v>74</v>
      </c>
      <c r="AA9" s="31">
        <f t="shared" ref="AA9:AA19" si="4">Z9*10/60</f>
        <v>12.333333333333334</v>
      </c>
    </row>
    <row r="10" spans="2:27" ht="16.95" customHeight="1" x14ac:dyDescent="0.25">
      <c r="B10" s="3">
        <v>3</v>
      </c>
      <c r="C10" s="3" t="s">
        <v>13</v>
      </c>
      <c r="D10" s="4" t="s">
        <v>14</v>
      </c>
      <c r="E10" s="34"/>
      <c r="F10" s="34"/>
      <c r="G10" s="34"/>
      <c r="H10" s="34"/>
      <c r="I10" s="34"/>
      <c r="J10" s="15">
        <v>2</v>
      </c>
      <c r="K10" s="15">
        <v>2</v>
      </c>
      <c r="L10" s="15">
        <v>11</v>
      </c>
      <c r="M10" s="15">
        <v>11</v>
      </c>
      <c r="N10" s="15">
        <v>11</v>
      </c>
      <c r="O10" s="34"/>
      <c r="P10" s="34"/>
      <c r="Q10" s="15">
        <v>7</v>
      </c>
      <c r="R10" s="15">
        <v>9</v>
      </c>
      <c r="S10" s="15">
        <v>9</v>
      </c>
      <c r="T10" s="15">
        <v>11</v>
      </c>
      <c r="U10" s="15">
        <v>11</v>
      </c>
      <c r="V10" s="15">
        <v>11</v>
      </c>
      <c r="W10" s="15">
        <v>11</v>
      </c>
      <c r="X10" s="15">
        <v>11</v>
      </c>
      <c r="Y10" s="5">
        <f t="shared" si="2"/>
        <v>13</v>
      </c>
      <c r="Z10" s="6">
        <f t="shared" si="3"/>
        <v>117</v>
      </c>
      <c r="AA10" s="1">
        <f t="shared" si="4"/>
        <v>19.5</v>
      </c>
    </row>
    <row r="11" spans="2:27" ht="16.95" customHeight="1" x14ac:dyDescent="0.25">
      <c r="B11" s="3">
        <v>4</v>
      </c>
      <c r="C11" s="3" t="s">
        <v>15</v>
      </c>
      <c r="D11" s="4" t="s">
        <v>16</v>
      </c>
      <c r="E11" s="15">
        <v>5</v>
      </c>
      <c r="F11" s="15">
        <v>5</v>
      </c>
      <c r="G11" s="15">
        <v>5</v>
      </c>
      <c r="H11" s="15">
        <v>5</v>
      </c>
      <c r="I11" s="15">
        <v>5</v>
      </c>
      <c r="J11" s="15">
        <v>5</v>
      </c>
      <c r="K11" s="15">
        <v>5</v>
      </c>
      <c r="L11" s="15">
        <v>5</v>
      </c>
      <c r="M11" s="15">
        <v>5</v>
      </c>
      <c r="N11" s="15">
        <v>5</v>
      </c>
      <c r="O11" s="34"/>
      <c r="P11" s="34"/>
      <c r="Q11" s="15">
        <v>5</v>
      </c>
      <c r="R11" s="15">
        <v>5</v>
      </c>
      <c r="S11" s="15">
        <v>5</v>
      </c>
      <c r="T11" s="15">
        <v>5</v>
      </c>
      <c r="U11" s="15">
        <v>5</v>
      </c>
      <c r="V11" s="15">
        <v>5</v>
      </c>
      <c r="W11" s="15">
        <v>5</v>
      </c>
      <c r="X11" s="15">
        <v>5</v>
      </c>
      <c r="Y11" s="5">
        <f t="shared" si="2"/>
        <v>18</v>
      </c>
      <c r="Z11" s="6">
        <f t="shared" si="3"/>
        <v>90</v>
      </c>
      <c r="AA11" s="1">
        <f t="shared" si="4"/>
        <v>15</v>
      </c>
    </row>
    <row r="12" spans="2:27" ht="16.95" customHeight="1" x14ac:dyDescent="0.25">
      <c r="B12" s="3">
        <v>5</v>
      </c>
      <c r="C12" s="3" t="s">
        <v>17</v>
      </c>
      <c r="D12" s="4" t="s">
        <v>18</v>
      </c>
      <c r="E12" s="15">
        <v>4</v>
      </c>
      <c r="F12" s="15">
        <v>4</v>
      </c>
      <c r="G12" s="15">
        <v>6</v>
      </c>
      <c r="H12" s="15">
        <v>6</v>
      </c>
      <c r="I12" s="15">
        <v>6</v>
      </c>
      <c r="J12" s="15">
        <v>6</v>
      </c>
      <c r="K12" s="15">
        <v>6</v>
      </c>
      <c r="L12" s="15">
        <v>6</v>
      </c>
      <c r="M12" s="15">
        <v>6</v>
      </c>
      <c r="N12" s="15">
        <v>6</v>
      </c>
      <c r="O12" s="34"/>
      <c r="P12" s="34"/>
      <c r="Q12" s="15">
        <v>6</v>
      </c>
      <c r="R12" s="15">
        <v>6</v>
      </c>
      <c r="S12" s="15">
        <v>6</v>
      </c>
      <c r="T12" s="15">
        <v>6</v>
      </c>
      <c r="U12" s="15">
        <v>6</v>
      </c>
      <c r="V12" s="15">
        <v>6</v>
      </c>
      <c r="W12" s="15">
        <v>6</v>
      </c>
      <c r="X12" s="15">
        <v>6</v>
      </c>
      <c r="Y12" s="5">
        <f t="shared" si="2"/>
        <v>18</v>
      </c>
      <c r="Z12" s="6">
        <f t="shared" si="3"/>
        <v>104</v>
      </c>
      <c r="AA12" s="1">
        <f t="shared" si="4"/>
        <v>17.333333333333332</v>
      </c>
    </row>
    <row r="13" spans="2:27" ht="16.95" customHeight="1" x14ac:dyDescent="0.25">
      <c r="B13" s="35">
        <v>6</v>
      </c>
      <c r="C13" s="35" t="s">
        <v>19</v>
      </c>
      <c r="D13" s="36" t="s">
        <v>14</v>
      </c>
      <c r="E13" s="34">
        <v>9</v>
      </c>
      <c r="F13" s="34">
        <v>9</v>
      </c>
      <c r="G13" s="34">
        <v>8</v>
      </c>
      <c r="H13" s="34">
        <v>8</v>
      </c>
      <c r="I13" s="34">
        <v>8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5">
        <f t="shared" si="2"/>
        <v>5</v>
      </c>
      <c r="Z13" s="6">
        <f t="shared" si="3"/>
        <v>42</v>
      </c>
      <c r="AA13" s="31">
        <f t="shared" si="4"/>
        <v>7</v>
      </c>
    </row>
    <row r="14" spans="2:27" ht="16.95" customHeight="1" x14ac:dyDescent="0.25">
      <c r="B14" s="3">
        <v>7</v>
      </c>
      <c r="C14" s="3" t="s">
        <v>20</v>
      </c>
      <c r="D14" s="4" t="s">
        <v>21</v>
      </c>
      <c r="E14" s="15">
        <v>8</v>
      </c>
      <c r="F14" s="15">
        <v>8</v>
      </c>
      <c r="G14" s="15">
        <v>9</v>
      </c>
      <c r="H14" s="15">
        <v>9</v>
      </c>
      <c r="I14" s="15">
        <v>9</v>
      </c>
      <c r="J14" s="15">
        <v>9</v>
      </c>
      <c r="K14" s="15">
        <v>9</v>
      </c>
      <c r="L14" s="15">
        <v>10</v>
      </c>
      <c r="M14" s="15">
        <v>10</v>
      </c>
      <c r="N14" s="15">
        <v>10</v>
      </c>
      <c r="O14" s="34"/>
      <c r="P14" s="34"/>
      <c r="Q14" s="15">
        <v>8</v>
      </c>
      <c r="R14" s="15">
        <v>8</v>
      </c>
      <c r="S14" s="15">
        <v>8</v>
      </c>
      <c r="T14" s="15">
        <v>9</v>
      </c>
      <c r="U14" s="15">
        <v>9</v>
      </c>
      <c r="V14" s="15">
        <v>9</v>
      </c>
      <c r="W14" s="15">
        <v>9</v>
      </c>
      <c r="X14" s="15">
        <v>9</v>
      </c>
      <c r="Y14" s="5">
        <f t="shared" si="2"/>
        <v>18</v>
      </c>
      <c r="Z14" s="6">
        <f t="shared" si="3"/>
        <v>160</v>
      </c>
      <c r="AA14" s="31">
        <f t="shared" si="4"/>
        <v>26.666666666666668</v>
      </c>
    </row>
    <row r="15" spans="2:27" ht="16.95" customHeight="1" x14ac:dyDescent="0.25">
      <c r="B15" s="3">
        <v>8</v>
      </c>
      <c r="C15" s="3" t="s">
        <v>22</v>
      </c>
      <c r="D15" s="4" t="s">
        <v>23</v>
      </c>
      <c r="E15" s="15">
        <v>5</v>
      </c>
      <c r="F15" s="15">
        <v>5</v>
      </c>
      <c r="G15" s="15">
        <v>5</v>
      </c>
      <c r="H15" s="15">
        <v>5</v>
      </c>
      <c r="I15" s="15">
        <v>5</v>
      </c>
      <c r="J15" s="15">
        <v>5</v>
      </c>
      <c r="K15" s="15">
        <v>5</v>
      </c>
      <c r="L15" s="15">
        <v>5</v>
      </c>
      <c r="M15" s="15">
        <v>5</v>
      </c>
      <c r="N15" s="15">
        <v>5</v>
      </c>
      <c r="O15" s="34"/>
      <c r="P15" s="34"/>
      <c r="Q15" s="15">
        <v>4</v>
      </c>
      <c r="R15" s="15">
        <v>4</v>
      </c>
      <c r="S15" s="15">
        <v>4</v>
      </c>
      <c r="T15" s="15">
        <v>4</v>
      </c>
      <c r="U15" s="15">
        <v>4</v>
      </c>
      <c r="V15" s="15">
        <v>4</v>
      </c>
      <c r="W15" s="15">
        <v>4</v>
      </c>
      <c r="X15" s="15">
        <v>4</v>
      </c>
      <c r="Y15" s="5">
        <f t="shared" si="2"/>
        <v>18</v>
      </c>
      <c r="Z15" s="6">
        <f t="shared" si="3"/>
        <v>82</v>
      </c>
      <c r="AA15" s="31">
        <f t="shared" si="4"/>
        <v>13.666666666666666</v>
      </c>
    </row>
    <row r="16" spans="2:27" ht="16.95" customHeight="1" x14ac:dyDescent="0.25">
      <c r="B16" s="3">
        <v>9</v>
      </c>
      <c r="C16" s="3" t="s">
        <v>24</v>
      </c>
      <c r="D16" s="4" t="s">
        <v>14</v>
      </c>
      <c r="E16" s="15">
        <v>10</v>
      </c>
      <c r="F16" s="15">
        <v>10</v>
      </c>
      <c r="G16" s="15">
        <v>10</v>
      </c>
      <c r="H16" s="15">
        <v>9</v>
      </c>
      <c r="I16" s="15">
        <v>10</v>
      </c>
      <c r="J16" s="15">
        <v>10</v>
      </c>
      <c r="K16" s="15">
        <v>10</v>
      </c>
      <c r="L16" s="15">
        <v>10</v>
      </c>
      <c r="M16" s="15">
        <v>10</v>
      </c>
      <c r="N16" s="15">
        <v>8</v>
      </c>
      <c r="O16" s="34"/>
      <c r="P16" s="34"/>
      <c r="Q16" s="15">
        <v>8</v>
      </c>
      <c r="R16" s="15">
        <v>8</v>
      </c>
      <c r="S16" s="15">
        <v>8</v>
      </c>
      <c r="T16" s="15">
        <v>9</v>
      </c>
      <c r="U16" s="15">
        <v>8</v>
      </c>
      <c r="V16" s="15">
        <v>8</v>
      </c>
      <c r="W16" s="15">
        <v>8</v>
      </c>
      <c r="X16" s="15">
        <v>8</v>
      </c>
      <c r="Y16" s="5">
        <f t="shared" si="2"/>
        <v>18</v>
      </c>
      <c r="Z16" s="6">
        <f t="shared" si="3"/>
        <v>162</v>
      </c>
      <c r="AA16" s="31">
        <f>Z16*10/60</f>
        <v>27</v>
      </c>
    </row>
    <row r="17" spans="2:27" ht="16.95" customHeight="1" x14ac:dyDescent="0.25">
      <c r="B17" s="3">
        <v>10</v>
      </c>
      <c r="C17" s="3" t="s">
        <v>25</v>
      </c>
      <c r="D17" s="4" t="s">
        <v>14</v>
      </c>
      <c r="E17" s="15">
        <v>7</v>
      </c>
      <c r="F17" s="15">
        <v>7</v>
      </c>
      <c r="G17" s="15">
        <v>7</v>
      </c>
      <c r="H17" s="15">
        <v>7</v>
      </c>
      <c r="I17" s="15">
        <v>7</v>
      </c>
      <c r="J17" s="15">
        <v>8</v>
      </c>
      <c r="K17" s="15">
        <v>8</v>
      </c>
      <c r="L17" s="15">
        <v>8</v>
      </c>
      <c r="M17" s="15">
        <v>8</v>
      </c>
      <c r="N17" s="15">
        <v>8</v>
      </c>
      <c r="O17" s="34"/>
      <c r="P17" s="34"/>
      <c r="Q17" s="15">
        <v>9</v>
      </c>
      <c r="R17" s="15">
        <v>9</v>
      </c>
      <c r="S17" s="15">
        <v>9</v>
      </c>
      <c r="T17" s="15">
        <v>9</v>
      </c>
      <c r="U17" s="15">
        <v>9</v>
      </c>
      <c r="V17" s="15">
        <v>9</v>
      </c>
      <c r="W17" s="15">
        <v>9</v>
      </c>
      <c r="X17" s="15">
        <v>9</v>
      </c>
      <c r="Y17" s="5">
        <f t="shared" si="2"/>
        <v>18</v>
      </c>
      <c r="Z17" s="6">
        <f t="shared" si="3"/>
        <v>147</v>
      </c>
      <c r="AA17" s="1">
        <f>Z17*10/60</f>
        <v>24.5</v>
      </c>
    </row>
    <row r="18" spans="2:27" ht="16.95" customHeight="1" x14ac:dyDescent="0.25">
      <c r="B18" s="3">
        <v>11</v>
      </c>
      <c r="C18" s="3" t="s">
        <v>26</v>
      </c>
      <c r="D18" s="4" t="s">
        <v>27</v>
      </c>
      <c r="E18" s="15">
        <v>2</v>
      </c>
      <c r="F18" s="15">
        <v>2</v>
      </c>
      <c r="G18" s="15">
        <v>2</v>
      </c>
      <c r="H18" s="15">
        <v>2</v>
      </c>
      <c r="I18" s="15">
        <v>2</v>
      </c>
      <c r="J18" s="15">
        <v>2</v>
      </c>
      <c r="K18" s="15">
        <v>2</v>
      </c>
      <c r="L18" s="15">
        <v>2</v>
      </c>
      <c r="M18" s="15">
        <v>2</v>
      </c>
      <c r="N18" s="15">
        <v>2</v>
      </c>
      <c r="O18" s="34"/>
      <c r="P18" s="34"/>
      <c r="Q18" s="15">
        <v>2</v>
      </c>
      <c r="R18" s="15">
        <v>2</v>
      </c>
      <c r="S18" s="15">
        <v>2</v>
      </c>
      <c r="T18" s="15">
        <v>2</v>
      </c>
      <c r="U18" s="15">
        <v>2</v>
      </c>
      <c r="V18" s="15">
        <v>2</v>
      </c>
      <c r="W18" s="15">
        <v>2</v>
      </c>
      <c r="X18" s="15">
        <v>2</v>
      </c>
      <c r="Y18" s="5">
        <f t="shared" si="2"/>
        <v>18</v>
      </c>
      <c r="Z18" s="6">
        <f t="shared" si="3"/>
        <v>36</v>
      </c>
      <c r="AA18" s="1">
        <f t="shared" si="4"/>
        <v>6</v>
      </c>
    </row>
    <row r="19" spans="2:27" ht="16.95" customHeight="1" x14ac:dyDescent="0.25">
      <c r="B19" s="3">
        <v>12</v>
      </c>
      <c r="C19" s="3" t="s">
        <v>28</v>
      </c>
      <c r="D19" s="4" t="s">
        <v>14</v>
      </c>
      <c r="E19" s="15">
        <v>10</v>
      </c>
      <c r="F19" s="15">
        <v>10</v>
      </c>
      <c r="G19" s="15">
        <v>11</v>
      </c>
      <c r="H19" s="15">
        <v>10</v>
      </c>
      <c r="I19" s="15">
        <v>7</v>
      </c>
      <c r="J19" s="15">
        <v>8</v>
      </c>
      <c r="K19" s="15">
        <v>6</v>
      </c>
      <c r="L19" s="15">
        <v>7</v>
      </c>
      <c r="M19" s="15">
        <v>9</v>
      </c>
      <c r="N19" s="15">
        <v>5</v>
      </c>
      <c r="O19" s="34"/>
      <c r="P19" s="34"/>
      <c r="Q19" s="15">
        <v>7</v>
      </c>
      <c r="R19" s="15">
        <v>6</v>
      </c>
      <c r="S19" s="15">
        <v>7</v>
      </c>
      <c r="T19" s="15">
        <v>9</v>
      </c>
      <c r="U19" s="15">
        <v>9</v>
      </c>
      <c r="V19" s="15">
        <v>9</v>
      </c>
      <c r="W19" s="15">
        <v>7</v>
      </c>
      <c r="X19" s="15">
        <v>7</v>
      </c>
      <c r="Y19" s="5">
        <f t="shared" si="2"/>
        <v>18</v>
      </c>
      <c r="Z19" s="6">
        <f t="shared" si="3"/>
        <v>144</v>
      </c>
      <c r="AA19" s="31">
        <f t="shared" si="4"/>
        <v>24</v>
      </c>
    </row>
    <row r="20" spans="2:27" s="27" customFormat="1" ht="12" customHeight="1" thickBot="1" x14ac:dyDescent="0.3">
      <c r="D20" s="28"/>
      <c r="E20" s="29">
        <f>SUM(E8:E19)*10/60</f>
        <v>11</v>
      </c>
      <c r="F20" s="29">
        <f>SUM(F8:F19)*10/60</f>
        <v>10.833333333333334</v>
      </c>
      <c r="G20" s="29">
        <f t="shared" ref="G20:X20" si="5">SUM(G8:G19)*10/60</f>
        <v>11.5</v>
      </c>
      <c r="H20" s="29">
        <f t="shared" si="5"/>
        <v>11</v>
      </c>
      <c r="I20" s="29">
        <f t="shared" si="5"/>
        <v>10.833333333333334</v>
      </c>
      <c r="J20" s="29">
        <f t="shared" si="5"/>
        <v>10.166666666666666</v>
      </c>
      <c r="K20" s="29">
        <f t="shared" si="5"/>
        <v>10.166666666666666</v>
      </c>
      <c r="L20" s="29">
        <f t="shared" si="5"/>
        <v>11.666666666666666</v>
      </c>
      <c r="M20" s="29">
        <f t="shared" si="5"/>
        <v>12.333333333333334</v>
      </c>
      <c r="N20" s="29">
        <f t="shared" si="5"/>
        <v>11</v>
      </c>
      <c r="O20" s="29">
        <f t="shared" si="5"/>
        <v>0</v>
      </c>
      <c r="P20" s="29">
        <f t="shared" si="5"/>
        <v>0</v>
      </c>
      <c r="Q20" s="29">
        <f t="shared" si="5"/>
        <v>10.666666666666666</v>
      </c>
      <c r="R20" s="29">
        <f t="shared" si="5"/>
        <v>10.5</v>
      </c>
      <c r="S20" s="29">
        <f t="shared" si="5"/>
        <v>11</v>
      </c>
      <c r="T20" s="29">
        <f t="shared" si="5"/>
        <v>12</v>
      </c>
      <c r="U20" s="29">
        <f t="shared" si="5"/>
        <v>12.166666666666666</v>
      </c>
      <c r="V20" s="29">
        <f t="shared" si="5"/>
        <v>11.833333333333334</v>
      </c>
      <c r="W20" s="29">
        <f t="shared" si="5"/>
        <v>11.833333333333334</v>
      </c>
      <c r="X20" s="29">
        <f t="shared" si="5"/>
        <v>11.5</v>
      </c>
      <c r="Y20" s="32">
        <f>SUM(E20:U20)</f>
        <v>166.83333333333334</v>
      </c>
      <c r="Z20" s="30"/>
    </row>
    <row r="21" spans="2:27" ht="26.25" customHeight="1" x14ac:dyDescent="0.25">
      <c r="D21" s="7" t="s">
        <v>29</v>
      </c>
      <c r="E21" s="16">
        <f t="shared" ref="E21:X21" si="6">COUNT(E8:E19)</f>
        <v>11</v>
      </c>
      <c r="F21" s="16">
        <f t="shared" si="6"/>
        <v>11</v>
      </c>
      <c r="G21" s="16">
        <f t="shared" si="6"/>
        <v>11</v>
      </c>
      <c r="H21" s="16">
        <f t="shared" si="6"/>
        <v>11</v>
      </c>
      <c r="I21" s="16">
        <f t="shared" si="6"/>
        <v>11</v>
      </c>
      <c r="J21" s="16">
        <f t="shared" si="6"/>
        <v>11</v>
      </c>
      <c r="K21" s="16">
        <f t="shared" si="6"/>
        <v>11</v>
      </c>
      <c r="L21" s="16">
        <f t="shared" si="6"/>
        <v>11</v>
      </c>
      <c r="M21" s="16">
        <f t="shared" si="6"/>
        <v>11</v>
      </c>
      <c r="N21" s="16">
        <f t="shared" si="6"/>
        <v>11</v>
      </c>
      <c r="O21" s="16">
        <f t="shared" si="6"/>
        <v>0</v>
      </c>
      <c r="P21" s="16">
        <f t="shared" si="6"/>
        <v>0</v>
      </c>
      <c r="Q21" s="16">
        <f t="shared" si="6"/>
        <v>11</v>
      </c>
      <c r="R21" s="16">
        <f t="shared" si="6"/>
        <v>11</v>
      </c>
      <c r="S21" s="16">
        <f t="shared" si="6"/>
        <v>11</v>
      </c>
      <c r="T21" s="16">
        <f t="shared" si="6"/>
        <v>11</v>
      </c>
      <c r="U21" s="16">
        <f t="shared" si="6"/>
        <v>11</v>
      </c>
      <c r="V21" s="16">
        <f t="shared" si="6"/>
        <v>11</v>
      </c>
      <c r="W21" s="16">
        <f t="shared" si="6"/>
        <v>11</v>
      </c>
      <c r="X21" s="16">
        <f t="shared" si="6"/>
        <v>11</v>
      </c>
      <c r="Y21" s="24" t="s">
        <v>30</v>
      </c>
      <c r="Z21" s="8" t="s">
        <v>30</v>
      </c>
    </row>
    <row r="22" spans="2:27" ht="28.5" customHeight="1" x14ac:dyDescent="0.25">
      <c r="D22" s="9" t="s">
        <v>31</v>
      </c>
      <c r="E22" s="17">
        <f t="shared" ref="E22:X22" si="7">COUNT(E8:E19)</f>
        <v>11</v>
      </c>
      <c r="F22" s="17">
        <f t="shared" si="7"/>
        <v>11</v>
      </c>
      <c r="G22" s="17">
        <f t="shared" si="7"/>
        <v>11</v>
      </c>
      <c r="H22" s="17">
        <f t="shared" si="7"/>
        <v>11</v>
      </c>
      <c r="I22" s="17">
        <f t="shared" si="7"/>
        <v>11</v>
      </c>
      <c r="J22" s="17">
        <f t="shared" si="7"/>
        <v>11</v>
      </c>
      <c r="K22" s="17">
        <f t="shared" si="7"/>
        <v>11</v>
      </c>
      <c r="L22" s="17">
        <f t="shared" si="7"/>
        <v>11</v>
      </c>
      <c r="M22" s="17">
        <f t="shared" si="7"/>
        <v>11</v>
      </c>
      <c r="N22" s="17">
        <f t="shared" si="7"/>
        <v>11</v>
      </c>
      <c r="O22" s="17">
        <f t="shared" si="7"/>
        <v>0</v>
      </c>
      <c r="P22" s="17">
        <f t="shared" si="7"/>
        <v>0</v>
      </c>
      <c r="Q22" s="17">
        <f t="shared" si="7"/>
        <v>11</v>
      </c>
      <c r="R22" s="17">
        <f t="shared" si="7"/>
        <v>11</v>
      </c>
      <c r="S22" s="17">
        <f t="shared" si="7"/>
        <v>11</v>
      </c>
      <c r="T22" s="17">
        <f t="shared" si="7"/>
        <v>11</v>
      </c>
      <c r="U22" s="17">
        <f t="shared" si="7"/>
        <v>11</v>
      </c>
      <c r="V22" s="17">
        <f t="shared" si="7"/>
        <v>11</v>
      </c>
      <c r="W22" s="17">
        <f t="shared" si="7"/>
        <v>11</v>
      </c>
      <c r="X22" s="17">
        <f t="shared" si="7"/>
        <v>11</v>
      </c>
      <c r="Y22" s="25" t="s">
        <v>30</v>
      </c>
      <c r="Z22" s="10">
        <f>SUM(E22:X22)</f>
        <v>198</v>
      </c>
    </row>
    <row r="23" spans="2:27" ht="23.25" customHeight="1" x14ac:dyDescent="0.25">
      <c r="D23" s="9" t="s">
        <v>32</v>
      </c>
      <c r="E23" s="18">
        <f t="shared" ref="E23:X23" si="8">SUM(E8:E19)</f>
        <v>66</v>
      </c>
      <c r="F23" s="18">
        <f t="shared" si="8"/>
        <v>65</v>
      </c>
      <c r="G23" s="18">
        <f t="shared" si="8"/>
        <v>69</v>
      </c>
      <c r="H23" s="18">
        <f t="shared" si="8"/>
        <v>66</v>
      </c>
      <c r="I23" s="18">
        <f t="shared" si="8"/>
        <v>65</v>
      </c>
      <c r="J23" s="18">
        <f t="shared" si="8"/>
        <v>61</v>
      </c>
      <c r="K23" s="18">
        <f t="shared" si="8"/>
        <v>61</v>
      </c>
      <c r="L23" s="18">
        <f t="shared" si="8"/>
        <v>70</v>
      </c>
      <c r="M23" s="18">
        <f t="shared" si="8"/>
        <v>74</v>
      </c>
      <c r="N23" s="18">
        <f t="shared" si="8"/>
        <v>66</v>
      </c>
      <c r="O23" s="18">
        <f t="shared" si="8"/>
        <v>0</v>
      </c>
      <c r="P23" s="18">
        <f t="shared" si="8"/>
        <v>0</v>
      </c>
      <c r="Q23" s="18">
        <f t="shared" si="8"/>
        <v>64</v>
      </c>
      <c r="R23" s="18">
        <f t="shared" si="8"/>
        <v>63</v>
      </c>
      <c r="S23" s="18">
        <f t="shared" si="8"/>
        <v>66</v>
      </c>
      <c r="T23" s="18">
        <f t="shared" si="8"/>
        <v>72</v>
      </c>
      <c r="U23" s="18">
        <f t="shared" si="8"/>
        <v>73</v>
      </c>
      <c r="V23" s="18">
        <f t="shared" si="8"/>
        <v>71</v>
      </c>
      <c r="W23" s="18">
        <f t="shared" si="8"/>
        <v>71</v>
      </c>
      <c r="X23" s="18">
        <f t="shared" si="8"/>
        <v>69</v>
      </c>
      <c r="Y23" s="25" t="s">
        <v>30</v>
      </c>
      <c r="Z23" s="11">
        <f>SUM(E23:X23)</f>
        <v>1212</v>
      </c>
    </row>
    <row r="24" spans="2:27" ht="23.25" customHeight="1" thickBot="1" x14ac:dyDescent="0.3">
      <c r="D24" s="12" t="s">
        <v>33</v>
      </c>
      <c r="E24" s="19">
        <f>E22*10/60</f>
        <v>1.8333333333333333</v>
      </c>
      <c r="F24" s="19">
        <f t="shared" ref="F24:X24" si="9">F22*10/60</f>
        <v>1.8333333333333333</v>
      </c>
      <c r="G24" s="19">
        <f t="shared" si="9"/>
        <v>1.8333333333333333</v>
      </c>
      <c r="H24" s="19">
        <f t="shared" si="9"/>
        <v>1.8333333333333333</v>
      </c>
      <c r="I24" s="19">
        <f t="shared" si="9"/>
        <v>1.8333333333333333</v>
      </c>
      <c r="J24" s="19">
        <f t="shared" si="9"/>
        <v>1.8333333333333333</v>
      </c>
      <c r="K24" s="19">
        <f t="shared" si="9"/>
        <v>1.8333333333333333</v>
      </c>
      <c r="L24" s="19">
        <f t="shared" si="9"/>
        <v>1.8333333333333333</v>
      </c>
      <c r="M24" s="19">
        <f t="shared" si="9"/>
        <v>1.8333333333333333</v>
      </c>
      <c r="N24" s="19">
        <f t="shared" si="9"/>
        <v>1.8333333333333333</v>
      </c>
      <c r="O24" s="19">
        <f t="shared" si="9"/>
        <v>0</v>
      </c>
      <c r="P24" s="19">
        <f t="shared" si="9"/>
        <v>0</v>
      </c>
      <c r="Q24" s="19">
        <f t="shared" si="9"/>
        <v>1.8333333333333333</v>
      </c>
      <c r="R24" s="19">
        <f t="shared" si="9"/>
        <v>1.8333333333333333</v>
      </c>
      <c r="S24" s="19">
        <f t="shared" si="9"/>
        <v>1.8333333333333333</v>
      </c>
      <c r="T24" s="19">
        <f t="shared" si="9"/>
        <v>1.8333333333333333</v>
      </c>
      <c r="U24" s="19">
        <f t="shared" si="9"/>
        <v>1.8333333333333333</v>
      </c>
      <c r="V24" s="19">
        <f t="shared" si="9"/>
        <v>1.8333333333333333</v>
      </c>
      <c r="W24" s="19">
        <f t="shared" si="9"/>
        <v>1.8333333333333333</v>
      </c>
      <c r="X24" s="19">
        <f t="shared" si="9"/>
        <v>1.8333333333333333</v>
      </c>
      <c r="Y24" s="26"/>
      <c r="Z24" s="13">
        <f>SUM(E24:X24)</f>
        <v>32.999999999999993</v>
      </c>
    </row>
  </sheetData>
  <mergeCells count="6">
    <mergeCell ref="B2:C6"/>
    <mergeCell ref="D2:Z2"/>
    <mergeCell ref="D4:Z4"/>
    <mergeCell ref="D5:D6"/>
    <mergeCell ref="Y5:Y7"/>
    <mergeCell ref="Z5:Z7"/>
  </mergeCells>
  <pageMargins left="0.7" right="0.7" top="0.75" bottom="0.75" header="0.3" footer="0.3"/>
  <pageSetup scale="5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ED76-1494-49D9-A4B8-FC1BC3822D2C}">
  <sheetPr>
    <pageSetUpPr fitToPage="1"/>
  </sheetPr>
  <dimension ref="B1:AC24"/>
  <sheetViews>
    <sheetView showGridLines="0" topLeftCell="F1" zoomScale="90" zoomScaleNormal="90" workbookViewId="0">
      <pane ySplit="7" topLeftCell="A8" activePane="bottomLeft" state="frozen"/>
      <selection activeCell="T26" sqref="T26"/>
      <selection pane="bottomLeft" activeCell="T26" sqref="T26"/>
    </sheetView>
  </sheetViews>
  <sheetFormatPr defaultColWidth="15" defaultRowHeight="18.75" customHeight="1" x14ac:dyDescent="0.25"/>
  <cols>
    <col min="1" max="1" width="1" style="1" customWidth="1"/>
    <col min="2" max="2" width="5.109375" style="1" customWidth="1"/>
    <col min="3" max="3" width="23.44140625" style="1" customWidth="1"/>
    <col min="4" max="4" width="28.77734375" style="1" customWidth="1"/>
    <col min="5" max="21" width="15.6640625" style="1" bestFit="1" customWidth="1"/>
    <col min="22" max="26" width="15.6640625" style="1" customWidth="1"/>
    <col min="27" max="27" width="13.77734375" style="2" customWidth="1"/>
    <col min="28" max="28" width="6.77734375" style="1" customWidth="1"/>
    <col min="29" max="29" width="6.109375" style="1" customWidth="1"/>
    <col min="30" max="30" width="4.77734375" style="1" customWidth="1"/>
    <col min="31" max="31" width="3.77734375" style="1" customWidth="1"/>
    <col min="32" max="32" width="5.77734375" style="1" customWidth="1"/>
    <col min="33" max="33" width="8.109375" style="1" customWidth="1"/>
    <col min="34" max="34" width="7" style="1" customWidth="1"/>
    <col min="35" max="16384" width="15" style="1"/>
  </cols>
  <sheetData>
    <row r="1" spans="2:29" ht="4.5" customHeight="1" x14ac:dyDescent="0.25"/>
    <row r="2" spans="2:29" s="42" customFormat="1" ht="16.2" customHeight="1" x14ac:dyDescent="0.25">
      <c r="B2" s="59"/>
      <c r="C2" s="59"/>
      <c r="D2" s="80" t="s">
        <v>34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</row>
    <row r="3" spans="2:29" s="41" customFormat="1" ht="15.6" customHeight="1" x14ac:dyDescent="0.25">
      <c r="B3" s="59"/>
      <c r="C3" s="59"/>
      <c r="D3" s="37"/>
      <c r="E3" s="44" t="str">
        <f>"SEMANA 01: " &amp; SUM(E8:I19)</f>
        <v>SEMANA 01: 308</v>
      </c>
      <c r="F3" s="38"/>
      <c r="G3" s="38"/>
      <c r="H3" s="38"/>
      <c r="I3" s="43"/>
      <c r="J3" s="44" t="str">
        <f>"SEMANA 02: " &amp; SUM(J8:N19)</f>
        <v>SEMANA 02: 396</v>
      </c>
      <c r="K3" s="38"/>
      <c r="L3" s="38"/>
      <c r="M3" s="38"/>
      <c r="N3" s="43"/>
      <c r="O3" s="44" t="str">
        <f>"SEMANA 03: "&amp;SUM(O8:S19)</f>
        <v>SEMANA 03: 415</v>
      </c>
      <c r="P3" s="38"/>
      <c r="Q3" s="38"/>
      <c r="R3" s="38"/>
      <c r="S3" s="43"/>
      <c r="T3" s="44" t="str">
        <f>"SEMANA 04: "&amp;SUM(T8:Z19)</f>
        <v>SEMANA 04: 439</v>
      </c>
      <c r="U3" s="38"/>
      <c r="V3" s="38"/>
      <c r="W3" s="38"/>
      <c r="X3" s="38"/>
      <c r="Y3" s="38"/>
      <c r="Z3" s="38"/>
      <c r="AA3" s="39"/>
      <c r="AB3" s="40"/>
    </row>
    <row r="4" spans="2:29" ht="11.25" customHeight="1" x14ac:dyDescent="0.25">
      <c r="B4" s="59"/>
      <c r="C4" s="59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</row>
    <row r="5" spans="2:29" ht="12.75" customHeight="1" x14ac:dyDescent="0.25">
      <c r="B5" s="59"/>
      <c r="C5" s="59"/>
      <c r="D5" s="66" t="s">
        <v>2</v>
      </c>
      <c r="E5" s="23">
        <v>46083</v>
      </c>
      <c r="F5" s="23">
        <f>E5+1</f>
        <v>46084</v>
      </c>
      <c r="G5" s="23">
        <f>F5+1</f>
        <v>46085</v>
      </c>
      <c r="H5" s="23">
        <f>G5+1</f>
        <v>46086</v>
      </c>
      <c r="I5" s="23">
        <f>H5+1</f>
        <v>46087</v>
      </c>
      <c r="J5" s="22">
        <f>I5+3</f>
        <v>46090</v>
      </c>
      <c r="K5" s="22">
        <f>J5+1</f>
        <v>46091</v>
      </c>
      <c r="L5" s="22">
        <f>K5+1</f>
        <v>46092</v>
      </c>
      <c r="M5" s="22">
        <f>L5+1</f>
        <v>46093</v>
      </c>
      <c r="N5" s="22">
        <f>M5+1</f>
        <v>46094</v>
      </c>
      <c r="O5" s="22">
        <f>N5+3</f>
        <v>46097</v>
      </c>
      <c r="P5" s="22">
        <f>O5+1</f>
        <v>46098</v>
      </c>
      <c r="Q5" s="22">
        <f>P5+1</f>
        <v>46099</v>
      </c>
      <c r="R5" s="22">
        <f>Q5+1</f>
        <v>46100</v>
      </c>
      <c r="S5" s="22">
        <f>R5+1</f>
        <v>46101</v>
      </c>
      <c r="T5" s="22">
        <f>S5+3</f>
        <v>46104</v>
      </c>
      <c r="U5" s="22">
        <f>T5+1</f>
        <v>46105</v>
      </c>
      <c r="V5" s="22">
        <f>U5+1</f>
        <v>46106</v>
      </c>
      <c r="W5" s="22">
        <f>V5+1</f>
        <v>46107</v>
      </c>
      <c r="X5" s="22">
        <f>W5+1</f>
        <v>46108</v>
      </c>
      <c r="Y5" s="22">
        <v>46111</v>
      </c>
      <c r="Z5" s="22">
        <f t="shared" ref="Z5" si="0">Y5+1</f>
        <v>46112</v>
      </c>
      <c r="AA5" s="68" t="s">
        <v>3</v>
      </c>
      <c r="AB5" s="78" t="s">
        <v>4</v>
      </c>
    </row>
    <row r="6" spans="2:29" ht="15" customHeight="1" x14ac:dyDescent="0.25">
      <c r="B6" s="59"/>
      <c r="C6" s="59"/>
      <c r="D6" s="66"/>
      <c r="E6" s="14">
        <f t="shared" ref="E6:X6" si="1">E5</f>
        <v>46083</v>
      </c>
      <c r="F6" s="14">
        <f t="shared" si="1"/>
        <v>46084</v>
      </c>
      <c r="G6" s="14">
        <f t="shared" si="1"/>
        <v>46085</v>
      </c>
      <c r="H6" s="14">
        <f t="shared" si="1"/>
        <v>46086</v>
      </c>
      <c r="I6" s="14">
        <f t="shared" si="1"/>
        <v>46087</v>
      </c>
      <c r="J6" s="14">
        <f t="shared" si="1"/>
        <v>46090</v>
      </c>
      <c r="K6" s="14">
        <f t="shared" si="1"/>
        <v>46091</v>
      </c>
      <c r="L6" s="14">
        <f t="shared" si="1"/>
        <v>46092</v>
      </c>
      <c r="M6" s="14">
        <f t="shared" si="1"/>
        <v>46093</v>
      </c>
      <c r="N6" s="14">
        <f t="shared" si="1"/>
        <v>46094</v>
      </c>
      <c r="O6" s="14">
        <f t="shared" si="1"/>
        <v>46097</v>
      </c>
      <c r="P6" s="14">
        <f t="shared" si="1"/>
        <v>46098</v>
      </c>
      <c r="Q6" s="14">
        <f t="shared" si="1"/>
        <v>46099</v>
      </c>
      <c r="R6" s="14">
        <f t="shared" si="1"/>
        <v>46100</v>
      </c>
      <c r="S6" s="14">
        <f t="shared" si="1"/>
        <v>46101</v>
      </c>
      <c r="T6" s="14">
        <f t="shared" si="1"/>
        <v>46104</v>
      </c>
      <c r="U6" s="14">
        <f t="shared" si="1"/>
        <v>46105</v>
      </c>
      <c r="V6" s="14">
        <f t="shared" si="1"/>
        <v>46106</v>
      </c>
      <c r="W6" s="14">
        <f t="shared" si="1"/>
        <v>46107</v>
      </c>
      <c r="X6" s="14">
        <f t="shared" si="1"/>
        <v>46108</v>
      </c>
      <c r="Y6" s="14">
        <f t="shared" ref="Y6:Z6" si="2">Y5</f>
        <v>46111</v>
      </c>
      <c r="Z6" s="14">
        <f t="shared" si="2"/>
        <v>46112</v>
      </c>
      <c r="AA6" s="68"/>
      <c r="AB6" s="78"/>
    </row>
    <row r="7" spans="2:29" ht="14.25" customHeight="1" x14ac:dyDescent="0.25">
      <c r="B7" s="20" t="s">
        <v>5</v>
      </c>
      <c r="C7" s="20" t="s">
        <v>6</v>
      </c>
      <c r="D7" s="20" t="s">
        <v>7</v>
      </c>
      <c r="E7" s="21" t="s">
        <v>8</v>
      </c>
      <c r="F7" s="21" t="s">
        <v>8</v>
      </c>
      <c r="G7" s="21" t="s">
        <v>8</v>
      </c>
      <c r="H7" s="21" t="s">
        <v>8</v>
      </c>
      <c r="I7" s="21" t="s">
        <v>8</v>
      </c>
      <c r="J7" s="21" t="s">
        <v>8</v>
      </c>
      <c r="K7" s="21" t="s">
        <v>8</v>
      </c>
      <c r="L7" s="21" t="s">
        <v>8</v>
      </c>
      <c r="M7" s="21" t="s">
        <v>8</v>
      </c>
      <c r="N7" s="21" t="s">
        <v>8</v>
      </c>
      <c r="O7" s="21" t="s">
        <v>8</v>
      </c>
      <c r="P7" s="21" t="s">
        <v>8</v>
      </c>
      <c r="Q7" s="21" t="s">
        <v>8</v>
      </c>
      <c r="R7" s="21" t="s">
        <v>8</v>
      </c>
      <c r="S7" s="21" t="s">
        <v>8</v>
      </c>
      <c r="T7" s="21" t="s">
        <v>8</v>
      </c>
      <c r="U7" s="21" t="s">
        <v>8</v>
      </c>
      <c r="V7" s="21" t="s">
        <v>8</v>
      </c>
      <c r="W7" s="21" t="s">
        <v>8</v>
      </c>
      <c r="X7" s="21" t="s">
        <v>8</v>
      </c>
      <c r="Y7" s="21" t="s">
        <v>8</v>
      </c>
      <c r="Z7" s="21" t="s">
        <v>8</v>
      </c>
      <c r="AA7" s="68"/>
      <c r="AB7" s="78"/>
    </row>
    <row r="8" spans="2:29" ht="16.95" customHeight="1" x14ac:dyDescent="0.25">
      <c r="B8" s="3">
        <v>1</v>
      </c>
      <c r="C8" s="3" t="s">
        <v>9</v>
      </c>
      <c r="D8" s="4" t="s">
        <v>10</v>
      </c>
      <c r="E8" s="15">
        <v>3</v>
      </c>
      <c r="F8" s="15">
        <v>3</v>
      </c>
      <c r="G8" s="15">
        <v>3</v>
      </c>
      <c r="H8" s="15">
        <v>3</v>
      </c>
      <c r="I8" s="50"/>
      <c r="J8" s="15">
        <v>3</v>
      </c>
      <c r="K8" s="15">
        <v>3</v>
      </c>
      <c r="L8" s="15">
        <v>3</v>
      </c>
      <c r="M8" s="15">
        <v>3</v>
      </c>
      <c r="N8" s="15">
        <v>3</v>
      </c>
      <c r="O8" s="45">
        <v>3</v>
      </c>
      <c r="P8" s="45">
        <v>3</v>
      </c>
      <c r="Q8" s="15">
        <v>3</v>
      </c>
      <c r="R8" s="15">
        <v>3</v>
      </c>
      <c r="S8" s="15">
        <v>3</v>
      </c>
      <c r="T8" s="15">
        <v>3</v>
      </c>
      <c r="U8" s="15">
        <v>3</v>
      </c>
      <c r="V8" s="15">
        <v>3</v>
      </c>
      <c r="W8" s="15">
        <v>3</v>
      </c>
      <c r="X8" s="15">
        <v>3</v>
      </c>
      <c r="Y8" s="15"/>
      <c r="Z8" s="15"/>
      <c r="AA8" s="5">
        <f>COUNTA(E8:X8)</f>
        <v>19</v>
      </c>
      <c r="AB8" s="6">
        <f>SUM(E8:X8)</f>
        <v>57</v>
      </c>
    </row>
    <row r="9" spans="2:29" ht="16.95" customHeight="1" x14ac:dyDescent="0.25">
      <c r="B9" s="3">
        <v>2</v>
      </c>
      <c r="C9" s="3" t="s">
        <v>11</v>
      </c>
      <c r="D9" s="4" t="s">
        <v>12</v>
      </c>
      <c r="E9" s="15">
        <v>6</v>
      </c>
      <c r="F9" s="15">
        <v>6</v>
      </c>
      <c r="G9" s="15">
        <v>6</v>
      </c>
      <c r="H9" s="15">
        <v>6</v>
      </c>
      <c r="I9" s="50"/>
      <c r="J9" s="15">
        <v>6</v>
      </c>
      <c r="K9" s="15">
        <v>6</v>
      </c>
      <c r="L9" s="15">
        <v>6</v>
      </c>
      <c r="M9" s="15">
        <v>6</v>
      </c>
      <c r="N9" s="15">
        <v>6</v>
      </c>
      <c r="O9" s="45">
        <v>5</v>
      </c>
      <c r="P9" s="45">
        <v>5</v>
      </c>
      <c r="Q9" s="15">
        <v>5</v>
      </c>
      <c r="R9" s="15">
        <v>5</v>
      </c>
      <c r="S9" s="15">
        <v>5</v>
      </c>
      <c r="T9" s="15">
        <v>6</v>
      </c>
      <c r="U9" s="15">
        <v>6</v>
      </c>
      <c r="V9" s="15">
        <v>6</v>
      </c>
      <c r="W9" s="15">
        <v>6</v>
      </c>
      <c r="X9" s="15">
        <v>6</v>
      </c>
      <c r="Y9" s="15"/>
      <c r="Z9" s="15"/>
      <c r="AA9" s="5">
        <f t="shared" ref="AA9:AA19" si="3">COUNTA(E9:X9)</f>
        <v>19</v>
      </c>
      <c r="AB9" s="6">
        <f t="shared" ref="AB9:AB19" si="4">SUM(E9:X9)</f>
        <v>109</v>
      </c>
      <c r="AC9" s="31"/>
    </row>
    <row r="10" spans="2:29" ht="16.95" customHeight="1" x14ac:dyDescent="0.25">
      <c r="B10" s="3">
        <v>3</v>
      </c>
      <c r="C10" s="3" t="s">
        <v>13</v>
      </c>
      <c r="D10" s="4" t="s">
        <v>14</v>
      </c>
      <c r="E10" s="45">
        <v>13</v>
      </c>
      <c r="F10" s="45">
        <v>13</v>
      </c>
      <c r="G10" s="45">
        <v>12</v>
      </c>
      <c r="H10" s="45">
        <v>13</v>
      </c>
      <c r="I10" s="50"/>
      <c r="J10" s="15">
        <v>11</v>
      </c>
      <c r="K10" s="15">
        <v>11</v>
      </c>
      <c r="L10" s="15">
        <v>11</v>
      </c>
      <c r="M10" s="15">
        <v>11</v>
      </c>
      <c r="N10" s="15">
        <v>11</v>
      </c>
      <c r="O10" s="45">
        <v>11</v>
      </c>
      <c r="P10" s="45">
        <v>11</v>
      </c>
      <c r="Q10" s="15">
        <v>11</v>
      </c>
      <c r="R10" s="15">
        <v>11</v>
      </c>
      <c r="S10" s="15">
        <v>10</v>
      </c>
      <c r="T10" s="15">
        <v>12</v>
      </c>
      <c r="U10" s="15">
        <v>12</v>
      </c>
      <c r="V10" s="15">
        <v>12</v>
      </c>
      <c r="W10" s="15">
        <v>11</v>
      </c>
      <c r="X10" s="15">
        <v>10</v>
      </c>
      <c r="Y10" s="15"/>
      <c r="Z10" s="15"/>
      <c r="AA10" s="5">
        <f t="shared" si="3"/>
        <v>19</v>
      </c>
      <c r="AB10" s="6">
        <f t="shared" si="4"/>
        <v>217</v>
      </c>
    </row>
    <row r="11" spans="2:29" ht="16.95" customHeight="1" x14ac:dyDescent="0.25">
      <c r="B11" s="3">
        <v>4</v>
      </c>
      <c r="C11" s="3" t="s">
        <v>15</v>
      </c>
      <c r="D11" s="4" t="s">
        <v>16</v>
      </c>
      <c r="E11" s="15">
        <v>5</v>
      </c>
      <c r="F11" s="15">
        <v>5</v>
      </c>
      <c r="G11" s="15">
        <v>5</v>
      </c>
      <c r="H11" s="15">
        <v>5</v>
      </c>
      <c r="I11" s="50"/>
      <c r="J11" s="15">
        <v>5</v>
      </c>
      <c r="K11" s="15">
        <v>5</v>
      </c>
      <c r="L11" s="15">
        <v>5</v>
      </c>
      <c r="M11" s="15">
        <v>4</v>
      </c>
      <c r="N11" s="15">
        <v>5</v>
      </c>
      <c r="O11" s="45">
        <v>5</v>
      </c>
      <c r="P11" s="45">
        <v>5</v>
      </c>
      <c r="Q11" s="15">
        <v>5</v>
      </c>
      <c r="R11" s="15">
        <v>5</v>
      </c>
      <c r="S11" s="15">
        <v>5</v>
      </c>
      <c r="T11" s="15">
        <v>5</v>
      </c>
      <c r="U11" s="15">
        <v>5</v>
      </c>
      <c r="V11" s="45">
        <v>5</v>
      </c>
      <c r="W11" s="15">
        <v>5</v>
      </c>
      <c r="X11" s="15">
        <v>5</v>
      </c>
      <c r="Y11" s="15"/>
      <c r="Z11" s="15"/>
      <c r="AA11" s="5">
        <f t="shared" si="3"/>
        <v>19</v>
      </c>
      <c r="AB11" s="6">
        <f t="shared" si="4"/>
        <v>94</v>
      </c>
    </row>
    <row r="12" spans="2:29" ht="16.95" customHeight="1" x14ac:dyDescent="0.25">
      <c r="B12" s="3">
        <v>5</v>
      </c>
      <c r="C12" s="3" t="s">
        <v>17</v>
      </c>
      <c r="D12" s="4" t="s">
        <v>18</v>
      </c>
      <c r="E12" s="15">
        <v>6</v>
      </c>
      <c r="F12" s="15">
        <v>5</v>
      </c>
      <c r="G12" s="15">
        <v>7</v>
      </c>
      <c r="H12" s="15">
        <v>7</v>
      </c>
      <c r="I12" s="50"/>
      <c r="J12" s="15">
        <v>7</v>
      </c>
      <c r="K12" s="15">
        <v>7</v>
      </c>
      <c r="L12" s="15">
        <v>7</v>
      </c>
      <c r="M12" s="15">
        <v>7</v>
      </c>
      <c r="N12" s="15">
        <v>7</v>
      </c>
      <c r="O12" s="45">
        <v>7</v>
      </c>
      <c r="P12" s="45">
        <v>7</v>
      </c>
      <c r="Q12" s="15">
        <v>7</v>
      </c>
      <c r="R12" s="15">
        <v>7</v>
      </c>
      <c r="S12" s="15">
        <v>7</v>
      </c>
      <c r="T12" s="15">
        <v>7</v>
      </c>
      <c r="U12" s="15">
        <v>6</v>
      </c>
      <c r="V12" s="15">
        <v>6</v>
      </c>
      <c r="W12" s="15">
        <v>6</v>
      </c>
      <c r="X12" s="15">
        <v>6</v>
      </c>
      <c r="Y12" s="15"/>
      <c r="Z12" s="15"/>
      <c r="AA12" s="5">
        <f t="shared" si="3"/>
        <v>19</v>
      </c>
      <c r="AB12" s="6">
        <f t="shared" si="4"/>
        <v>126</v>
      </c>
    </row>
    <row r="13" spans="2:29" s="49" customFormat="1" ht="16.95" customHeight="1" x14ac:dyDescent="0.25">
      <c r="B13" s="46">
        <v>6</v>
      </c>
      <c r="C13" s="46" t="s">
        <v>19</v>
      </c>
      <c r="D13" s="47" t="s">
        <v>14</v>
      </c>
      <c r="E13" s="50"/>
      <c r="F13" s="50"/>
      <c r="G13" s="50"/>
      <c r="H13" s="50"/>
      <c r="I13" s="50"/>
      <c r="J13" s="50"/>
      <c r="K13" s="50"/>
      <c r="L13" s="45">
        <v>10</v>
      </c>
      <c r="M13" s="45">
        <v>10</v>
      </c>
      <c r="N13" s="45">
        <v>10</v>
      </c>
      <c r="O13" s="49">
        <v>10</v>
      </c>
      <c r="P13" s="45">
        <v>10</v>
      </c>
      <c r="Q13" s="45">
        <v>10</v>
      </c>
      <c r="R13" s="45">
        <v>10</v>
      </c>
      <c r="S13" s="45">
        <v>10</v>
      </c>
      <c r="T13" s="45">
        <v>10</v>
      </c>
      <c r="U13" s="45">
        <v>10</v>
      </c>
      <c r="V13" s="45">
        <v>10</v>
      </c>
      <c r="W13" s="45">
        <v>10</v>
      </c>
      <c r="X13" s="45">
        <v>10</v>
      </c>
      <c r="Y13" s="45"/>
      <c r="Z13" s="45"/>
      <c r="AA13" s="5">
        <f t="shared" si="3"/>
        <v>13</v>
      </c>
      <c r="AB13" s="6">
        <f t="shared" si="4"/>
        <v>130</v>
      </c>
      <c r="AC13" s="48"/>
    </row>
    <row r="14" spans="2:29" ht="16.95" customHeight="1" x14ac:dyDescent="0.25">
      <c r="B14" s="3">
        <v>7</v>
      </c>
      <c r="C14" s="3" t="s">
        <v>20</v>
      </c>
      <c r="D14" s="4" t="s">
        <v>21</v>
      </c>
      <c r="E14" s="15">
        <v>8</v>
      </c>
      <c r="F14" s="15">
        <v>8</v>
      </c>
      <c r="G14" s="15">
        <v>8</v>
      </c>
      <c r="H14" s="15">
        <v>8</v>
      </c>
      <c r="I14" s="50"/>
      <c r="J14" s="15">
        <v>8</v>
      </c>
      <c r="K14" s="15">
        <v>8</v>
      </c>
      <c r="L14" s="15">
        <v>8</v>
      </c>
      <c r="M14" s="15">
        <v>8</v>
      </c>
      <c r="N14" s="15">
        <v>8</v>
      </c>
      <c r="O14" s="45">
        <v>8</v>
      </c>
      <c r="P14" s="45">
        <v>8</v>
      </c>
      <c r="Q14" s="15">
        <v>8</v>
      </c>
      <c r="R14" s="15">
        <v>8</v>
      </c>
      <c r="S14" s="15">
        <v>8</v>
      </c>
      <c r="T14" s="15">
        <v>8</v>
      </c>
      <c r="U14" s="15">
        <v>8</v>
      </c>
      <c r="V14" s="15">
        <v>8</v>
      </c>
      <c r="W14" s="15">
        <v>8</v>
      </c>
      <c r="X14" s="15">
        <v>8</v>
      </c>
      <c r="Y14" s="15"/>
      <c r="Z14" s="15"/>
      <c r="AA14" s="5">
        <f t="shared" si="3"/>
        <v>19</v>
      </c>
      <c r="AB14" s="6">
        <f t="shared" si="4"/>
        <v>152</v>
      </c>
      <c r="AC14" s="31"/>
    </row>
    <row r="15" spans="2:29" ht="16.95" customHeight="1" x14ac:dyDescent="0.25">
      <c r="B15" s="3">
        <v>8</v>
      </c>
      <c r="C15" s="3" t="s">
        <v>22</v>
      </c>
      <c r="D15" s="4" t="s">
        <v>23</v>
      </c>
      <c r="E15" s="15">
        <v>5</v>
      </c>
      <c r="F15" s="15">
        <v>5</v>
      </c>
      <c r="G15" s="15">
        <v>5</v>
      </c>
      <c r="H15" s="15">
        <v>5</v>
      </c>
      <c r="I15" s="50"/>
      <c r="J15" s="15">
        <v>5</v>
      </c>
      <c r="K15" s="15">
        <v>5</v>
      </c>
      <c r="L15" s="15">
        <v>5</v>
      </c>
      <c r="M15" s="15">
        <v>5</v>
      </c>
      <c r="N15" s="15">
        <v>5</v>
      </c>
      <c r="O15" s="1">
        <v>5</v>
      </c>
      <c r="P15" s="45">
        <v>5</v>
      </c>
      <c r="Q15" s="15">
        <v>5</v>
      </c>
      <c r="R15" s="15">
        <v>5</v>
      </c>
      <c r="S15" s="15">
        <v>5</v>
      </c>
      <c r="T15" s="15">
        <v>6</v>
      </c>
      <c r="U15" s="15">
        <v>6</v>
      </c>
      <c r="V15" s="15">
        <v>6</v>
      </c>
      <c r="W15" s="15">
        <v>6</v>
      </c>
      <c r="X15" s="15">
        <v>6</v>
      </c>
      <c r="Y15" s="15"/>
      <c r="Z15" s="15"/>
      <c r="AA15" s="5">
        <f t="shared" si="3"/>
        <v>19</v>
      </c>
      <c r="AB15" s="6">
        <f t="shared" si="4"/>
        <v>100</v>
      </c>
      <c r="AC15" s="31"/>
    </row>
    <row r="16" spans="2:29" ht="16.95" customHeight="1" x14ac:dyDescent="0.25">
      <c r="B16" s="3">
        <v>9</v>
      </c>
      <c r="C16" s="3" t="s">
        <v>24</v>
      </c>
      <c r="D16" s="4" t="s">
        <v>14</v>
      </c>
      <c r="E16" s="15">
        <v>9</v>
      </c>
      <c r="F16" s="15">
        <v>9</v>
      </c>
      <c r="G16" s="15">
        <v>9</v>
      </c>
      <c r="H16" s="15">
        <v>9</v>
      </c>
      <c r="I16" s="50"/>
      <c r="J16" s="15">
        <v>8</v>
      </c>
      <c r="K16" s="15">
        <v>8</v>
      </c>
      <c r="L16" s="15">
        <v>9</v>
      </c>
      <c r="M16" s="15">
        <v>9</v>
      </c>
      <c r="N16" s="15">
        <v>9</v>
      </c>
      <c r="O16" s="45">
        <v>9</v>
      </c>
      <c r="P16" s="45">
        <v>9</v>
      </c>
      <c r="Q16" s="15">
        <v>9</v>
      </c>
      <c r="R16" s="15">
        <v>8</v>
      </c>
      <c r="S16" s="15">
        <v>5</v>
      </c>
      <c r="T16" s="15">
        <v>9</v>
      </c>
      <c r="U16" s="15">
        <v>9</v>
      </c>
      <c r="V16" s="15">
        <v>9</v>
      </c>
      <c r="W16" s="15">
        <v>9</v>
      </c>
      <c r="X16" s="15">
        <v>9</v>
      </c>
      <c r="Y16" s="15"/>
      <c r="Z16" s="15"/>
      <c r="AA16" s="5">
        <f t="shared" si="3"/>
        <v>19</v>
      </c>
      <c r="AB16" s="6">
        <f t="shared" si="4"/>
        <v>164</v>
      </c>
      <c r="AC16" s="31"/>
    </row>
    <row r="17" spans="2:29" ht="16.95" customHeight="1" x14ac:dyDescent="0.25">
      <c r="B17" s="3">
        <v>10</v>
      </c>
      <c r="C17" s="3" t="s">
        <v>25</v>
      </c>
      <c r="D17" s="4" t="s">
        <v>14</v>
      </c>
      <c r="E17" s="15">
        <v>9</v>
      </c>
      <c r="F17" s="15">
        <v>9</v>
      </c>
      <c r="G17" s="15">
        <v>9</v>
      </c>
      <c r="H17" s="15">
        <v>9</v>
      </c>
      <c r="I17" s="50"/>
      <c r="J17" s="15">
        <v>9</v>
      </c>
      <c r="K17" s="15">
        <v>9</v>
      </c>
      <c r="L17" s="15">
        <v>7</v>
      </c>
      <c r="M17" s="15">
        <v>9</v>
      </c>
      <c r="N17" s="15">
        <v>9</v>
      </c>
      <c r="O17" s="45">
        <v>10</v>
      </c>
      <c r="P17" s="45">
        <v>10</v>
      </c>
      <c r="Q17" s="15">
        <v>10</v>
      </c>
      <c r="R17" s="15">
        <v>10</v>
      </c>
      <c r="S17" s="15">
        <v>10</v>
      </c>
      <c r="T17" s="15">
        <v>11</v>
      </c>
      <c r="U17" s="15">
        <v>11</v>
      </c>
      <c r="V17" s="15">
        <v>11</v>
      </c>
      <c r="W17" s="15">
        <v>11</v>
      </c>
      <c r="X17" s="15">
        <v>11</v>
      </c>
      <c r="Y17" s="15"/>
      <c r="Z17" s="15"/>
      <c r="AA17" s="5">
        <f t="shared" si="3"/>
        <v>19</v>
      </c>
      <c r="AB17" s="6">
        <f t="shared" si="4"/>
        <v>184</v>
      </c>
    </row>
    <row r="18" spans="2:29" ht="16.95" customHeight="1" x14ac:dyDescent="0.25">
      <c r="B18" s="3">
        <v>11</v>
      </c>
      <c r="C18" s="3" t="s">
        <v>26</v>
      </c>
      <c r="D18" s="4" t="s">
        <v>27</v>
      </c>
      <c r="E18" s="15">
        <v>3</v>
      </c>
      <c r="F18" s="15">
        <v>3</v>
      </c>
      <c r="G18" s="15">
        <v>3</v>
      </c>
      <c r="H18" s="15">
        <v>3</v>
      </c>
      <c r="I18" s="50"/>
      <c r="J18" s="15">
        <v>3</v>
      </c>
      <c r="K18" s="15">
        <v>3</v>
      </c>
      <c r="L18" s="15">
        <v>3</v>
      </c>
      <c r="M18" s="15">
        <v>3</v>
      </c>
      <c r="N18" s="15">
        <v>3</v>
      </c>
      <c r="O18" s="45">
        <v>3</v>
      </c>
      <c r="P18" s="45">
        <v>3</v>
      </c>
      <c r="Q18" s="15">
        <v>3</v>
      </c>
      <c r="R18" s="15">
        <v>3</v>
      </c>
      <c r="S18" s="15">
        <v>3</v>
      </c>
      <c r="T18" s="15">
        <v>3</v>
      </c>
      <c r="U18" s="15">
        <v>3</v>
      </c>
      <c r="V18" s="15">
        <v>3</v>
      </c>
      <c r="W18" s="15">
        <v>3</v>
      </c>
      <c r="X18" s="15">
        <v>3</v>
      </c>
      <c r="Y18" s="15"/>
      <c r="Z18" s="15"/>
      <c r="AA18" s="5">
        <f t="shared" si="3"/>
        <v>19</v>
      </c>
      <c r="AB18" s="6">
        <f t="shared" si="4"/>
        <v>57</v>
      </c>
    </row>
    <row r="19" spans="2:29" ht="16.95" customHeight="1" x14ac:dyDescent="0.25">
      <c r="B19" s="3">
        <v>12</v>
      </c>
      <c r="C19" s="3" t="s">
        <v>35</v>
      </c>
      <c r="D19" s="4" t="s">
        <v>14</v>
      </c>
      <c r="E19" s="15">
        <v>8</v>
      </c>
      <c r="F19" s="15">
        <v>10</v>
      </c>
      <c r="G19" s="15">
        <v>11</v>
      </c>
      <c r="H19" s="15">
        <v>11</v>
      </c>
      <c r="I19" s="50"/>
      <c r="J19" s="15">
        <v>9</v>
      </c>
      <c r="K19" s="15">
        <v>6</v>
      </c>
      <c r="L19" s="15">
        <v>9</v>
      </c>
      <c r="M19" s="15">
        <v>9</v>
      </c>
      <c r="N19" s="15">
        <v>8</v>
      </c>
      <c r="O19" s="45">
        <v>7</v>
      </c>
      <c r="P19" s="45">
        <v>8</v>
      </c>
      <c r="Q19" s="15">
        <v>9</v>
      </c>
      <c r="R19" s="15">
        <v>7</v>
      </c>
      <c r="S19" s="15">
        <v>10</v>
      </c>
      <c r="T19" s="15">
        <v>10</v>
      </c>
      <c r="U19" s="15">
        <v>10</v>
      </c>
      <c r="V19" s="15">
        <v>10</v>
      </c>
      <c r="W19" s="15">
        <v>9</v>
      </c>
      <c r="X19" s="15">
        <v>7</v>
      </c>
      <c r="Y19" s="15"/>
      <c r="Z19" s="15"/>
      <c r="AA19" s="5">
        <f t="shared" si="3"/>
        <v>19</v>
      </c>
      <c r="AB19" s="6">
        <f t="shared" si="4"/>
        <v>168</v>
      </c>
      <c r="AC19" s="31"/>
    </row>
    <row r="20" spans="2:29" s="27" customFormat="1" ht="12" customHeight="1" thickBot="1" x14ac:dyDescent="0.3">
      <c r="D20" s="28"/>
      <c r="E20" s="29">
        <f t="shared" ref="E20:W20" si="5">SUM(E8:E19)*10/60</f>
        <v>12.5</v>
      </c>
      <c r="F20" s="29">
        <f t="shared" si="5"/>
        <v>12.666666666666666</v>
      </c>
      <c r="G20" s="29">
        <f t="shared" si="5"/>
        <v>13</v>
      </c>
      <c r="H20" s="29">
        <f t="shared" si="5"/>
        <v>13.166666666666666</v>
      </c>
      <c r="I20" s="29">
        <f t="shared" si="5"/>
        <v>0</v>
      </c>
      <c r="J20" s="29">
        <f t="shared" si="5"/>
        <v>12.333333333333334</v>
      </c>
      <c r="K20" s="29">
        <f t="shared" si="5"/>
        <v>11.833333333333334</v>
      </c>
      <c r="L20" s="29">
        <f t="shared" si="5"/>
        <v>13.833333333333334</v>
      </c>
      <c r="M20" s="29">
        <f t="shared" si="5"/>
        <v>14</v>
      </c>
      <c r="N20" s="29">
        <f t="shared" si="5"/>
        <v>14</v>
      </c>
      <c r="O20" s="29">
        <f>SUM(O8:O19)*10/60</f>
        <v>13.833333333333334</v>
      </c>
      <c r="P20" s="29">
        <f t="shared" si="5"/>
        <v>14</v>
      </c>
      <c r="Q20" s="29">
        <f t="shared" si="5"/>
        <v>14.166666666666666</v>
      </c>
      <c r="R20" s="29">
        <f t="shared" si="5"/>
        <v>13.666666666666666</v>
      </c>
      <c r="S20" s="29">
        <f t="shared" si="5"/>
        <v>13.5</v>
      </c>
      <c r="T20" s="29">
        <f t="shared" si="5"/>
        <v>15</v>
      </c>
      <c r="U20" s="29">
        <f t="shared" si="5"/>
        <v>14.833333333333334</v>
      </c>
      <c r="V20" s="29">
        <f t="shared" si="5"/>
        <v>14.833333333333334</v>
      </c>
      <c r="W20" s="29">
        <f t="shared" si="5"/>
        <v>14.5</v>
      </c>
      <c r="X20" s="29">
        <f t="shared" ref="X20" si="6">SUM(X8:X19)*10/60</f>
        <v>14</v>
      </c>
      <c r="Y20" s="29">
        <f t="shared" ref="Y20" si="7">SUM(Y8:Y19)*10/60</f>
        <v>0</v>
      </c>
      <c r="Z20" s="29">
        <f>SUM(Z8:Z19)*10/60</f>
        <v>0</v>
      </c>
      <c r="AA20" s="32">
        <f>SUM(E20:U20)</f>
        <v>216.33333333333331</v>
      </c>
      <c r="AB20" s="30"/>
    </row>
    <row r="21" spans="2:29" ht="26.25" customHeight="1" x14ac:dyDescent="0.25">
      <c r="D21" s="7" t="s">
        <v>29</v>
      </c>
      <c r="E21" s="16">
        <f t="shared" ref="E21:Y21" si="8">COUNT(E8:E19)</f>
        <v>11</v>
      </c>
      <c r="F21" s="16">
        <f t="shared" si="8"/>
        <v>11</v>
      </c>
      <c r="G21" s="16">
        <f t="shared" si="8"/>
        <v>11</v>
      </c>
      <c r="H21" s="16">
        <f t="shared" si="8"/>
        <v>11</v>
      </c>
      <c r="I21" s="16">
        <f t="shared" si="8"/>
        <v>0</v>
      </c>
      <c r="J21" s="16">
        <f t="shared" si="8"/>
        <v>11</v>
      </c>
      <c r="K21" s="16">
        <f t="shared" si="8"/>
        <v>11</v>
      </c>
      <c r="L21" s="16">
        <f t="shared" si="8"/>
        <v>12</v>
      </c>
      <c r="M21" s="16">
        <f t="shared" si="8"/>
        <v>12</v>
      </c>
      <c r="N21" s="16">
        <f t="shared" si="8"/>
        <v>12</v>
      </c>
      <c r="O21" s="16">
        <f>COUNT(O8:O19)</f>
        <v>12</v>
      </c>
      <c r="P21" s="16">
        <f t="shared" si="8"/>
        <v>12</v>
      </c>
      <c r="Q21" s="16">
        <f t="shared" si="8"/>
        <v>12</v>
      </c>
      <c r="R21" s="16">
        <f t="shared" si="8"/>
        <v>12</v>
      </c>
      <c r="S21" s="16">
        <f t="shared" si="8"/>
        <v>12</v>
      </c>
      <c r="T21" s="16">
        <f t="shared" si="8"/>
        <v>12</v>
      </c>
      <c r="U21" s="16">
        <f t="shared" si="8"/>
        <v>12</v>
      </c>
      <c r="V21" s="16">
        <f t="shared" si="8"/>
        <v>12</v>
      </c>
      <c r="W21" s="16">
        <f t="shared" si="8"/>
        <v>12</v>
      </c>
      <c r="X21" s="16">
        <f t="shared" si="8"/>
        <v>12</v>
      </c>
      <c r="Y21" s="16">
        <f t="shared" si="8"/>
        <v>0</v>
      </c>
      <c r="Z21" s="16">
        <f>COUNT(Z8:Z19)</f>
        <v>0</v>
      </c>
      <c r="AA21" s="24" t="s">
        <v>30</v>
      </c>
      <c r="AB21" s="8" t="s">
        <v>30</v>
      </c>
    </row>
    <row r="22" spans="2:29" ht="28.5" customHeight="1" x14ac:dyDescent="0.25">
      <c r="D22" s="9" t="s">
        <v>31</v>
      </c>
      <c r="E22" s="17">
        <f t="shared" ref="E22:Y22" si="9">COUNT(E8:E19)</f>
        <v>11</v>
      </c>
      <c r="F22" s="17">
        <f t="shared" si="9"/>
        <v>11</v>
      </c>
      <c r="G22" s="17">
        <f t="shared" si="9"/>
        <v>11</v>
      </c>
      <c r="H22" s="17">
        <f t="shared" si="9"/>
        <v>11</v>
      </c>
      <c r="I22" s="17">
        <f t="shared" si="9"/>
        <v>0</v>
      </c>
      <c r="J22" s="17">
        <f t="shared" si="9"/>
        <v>11</v>
      </c>
      <c r="K22" s="17">
        <f t="shared" si="9"/>
        <v>11</v>
      </c>
      <c r="L22" s="17">
        <f t="shared" si="9"/>
        <v>12</v>
      </c>
      <c r="M22" s="17">
        <f t="shared" si="9"/>
        <v>12</v>
      </c>
      <c r="N22" s="17">
        <f t="shared" si="9"/>
        <v>12</v>
      </c>
      <c r="O22" s="17">
        <f>COUNT(O8:O19)</f>
        <v>12</v>
      </c>
      <c r="P22" s="17">
        <f t="shared" si="9"/>
        <v>12</v>
      </c>
      <c r="Q22" s="17">
        <f t="shared" si="9"/>
        <v>12</v>
      </c>
      <c r="R22" s="17">
        <f t="shared" si="9"/>
        <v>12</v>
      </c>
      <c r="S22" s="17">
        <f t="shared" si="9"/>
        <v>12</v>
      </c>
      <c r="T22" s="17">
        <f t="shared" si="9"/>
        <v>12</v>
      </c>
      <c r="U22" s="17">
        <f t="shared" si="9"/>
        <v>12</v>
      </c>
      <c r="V22" s="17">
        <f t="shared" si="9"/>
        <v>12</v>
      </c>
      <c r="W22" s="17">
        <f t="shared" si="9"/>
        <v>12</v>
      </c>
      <c r="X22" s="17">
        <f t="shared" si="9"/>
        <v>12</v>
      </c>
      <c r="Y22" s="17">
        <f t="shared" si="9"/>
        <v>0</v>
      </c>
      <c r="Z22" s="17">
        <f>COUNT(Z8:Z19)</f>
        <v>0</v>
      </c>
      <c r="AA22" s="25" t="s">
        <v>30</v>
      </c>
      <c r="AB22" s="10">
        <f>SUM(E22:Z22)</f>
        <v>222</v>
      </c>
    </row>
    <row r="23" spans="2:29" ht="23.25" customHeight="1" x14ac:dyDescent="0.25">
      <c r="D23" s="9" t="s">
        <v>32</v>
      </c>
      <c r="E23" s="18">
        <f t="shared" ref="E23:Y23" si="10">SUM(E8:E19)</f>
        <v>75</v>
      </c>
      <c r="F23" s="18">
        <f t="shared" si="10"/>
        <v>76</v>
      </c>
      <c r="G23" s="18">
        <f t="shared" si="10"/>
        <v>78</v>
      </c>
      <c r="H23" s="18">
        <f t="shared" si="10"/>
        <v>79</v>
      </c>
      <c r="I23" s="18">
        <f t="shared" si="10"/>
        <v>0</v>
      </c>
      <c r="J23" s="18">
        <f t="shared" si="10"/>
        <v>74</v>
      </c>
      <c r="K23" s="18">
        <f t="shared" si="10"/>
        <v>71</v>
      </c>
      <c r="L23" s="18">
        <f t="shared" si="10"/>
        <v>83</v>
      </c>
      <c r="M23" s="18">
        <f t="shared" si="10"/>
        <v>84</v>
      </c>
      <c r="N23" s="18">
        <f t="shared" si="10"/>
        <v>84</v>
      </c>
      <c r="O23" s="18">
        <f>SUM(O8:O19)</f>
        <v>83</v>
      </c>
      <c r="P23" s="18">
        <f t="shared" si="10"/>
        <v>84</v>
      </c>
      <c r="Q23" s="18">
        <f t="shared" si="10"/>
        <v>85</v>
      </c>
      <c r="R23" s="18">
        <f t="shared" si="10"/>
        <v>82</v>
      </c>
      <c r="S23" s="18">
        <f t="shared" si="10"/>
        <v>81</v>
      </c>
      <c r="T23" s="18">
        <f t="shared" si="10"/>
        <v>90</v>
      </c>
      <c r="U23" s="18">
        <f t="shared" si="10"/>
        <v>89</v>
      </c>
      <c r="V23" s="18">
        <f t="shared" si="10"/>
        <v>89</v>
      </c>
      <c r="W23" s="18">
        <f t="shared" si="10"/>
        <v>87</v>
      </c>
      <c r="X23" s="18">
        <f t="shared" si="10"/>
        <v>84</v>
      </c>
      <c r="Y23" s="18">
        <f t="shared" si="10"/>
        <v>0</v>
      </c>
      <c r="Z23" s="18">
        <f>SUM(Z8:Z19)</f>
        <v>0</v>
      </c>
      <c r="AA23" s="25" t="s">
        <v>30</v>
      </c>
      <c r="AB23" s="11">
        <f>SUM(E23:Z23)</f>
        <v>1558</v>
      </c>
    </row>
    <row r="24" spans="2:29" ht="23.25" customHeight="1" thickBot="1" x14ac:dyDescent="0.3">
      <c r="D24" s="12" t="s">
        <v>33</v>
      </c>
      <c r="E24" s="19">
        <f t="shared" ref="E24:Y24" si="11">E22*10/60</f>
        <v>1.8333333333333333</v>
      </c>
      <c r="F24" s="19">
        <f t="shared" si="11"/>
        <v>1.8333333333333333</v>
      </c>
      <c r="G24" s="19">
        <f t="shared" si="11"/>
        <v>1.8333333333333333</v>
      </c>
      <c r="H24" s="19">
        <f t="shared" si="11"/>
        <v>1.8333333333333333</v>
      </c>
      <c r="I24" s="19">
        <f t="shared" si="11"/>
        <v>0</v>
      </c>
      <c r="J24" s="19">
        <f t="shared" si="11"/>
        <v>1.8333333333333333</v>
      </c>
      <c r="K24" s="19">
        <f t="shared" si="11"/>
        <v>1.8333333333333333</v>
      </c>
      <c r="L24" s="19">
        <f t="shared" si="11"/>
        <v>2</v>
      </c>
      <c r="M24" s="19">
        <f t="shared" si="11"/>
        <v>2</v>
      </c>
      <c r="N24" s="19">
        <f t="shared" si="11"/>
        <v>2</v>
      </c>
      <c r="O24" s="19">
        <f t="shared" si="11"/>
        <v>2</v>
      </c>
      <c r="P24" s="19">
        <f t="shared" si="11"/>
        <v>2</v>
      </c>
      <c r="Q24" s="19">
        <f t="shared" si="11"/>
        <v>2</v>
      </c>
      <c r="R24" s="19">
        <f t="shared" si="11"/>
        <v>2</v>
      </c>
      <c r="S24" s="19">
        <f t="shared" si="11"/>
        <v>2</v>
      </c>
      <c r="T24" s="19">
        <f t="shared" si="11"/>
        <v>2</v>
      </c>
      <c r="U24" s="19">
        <f t="shared" si="11"/>
        <v>2</v>
      </c>
      <c r="V24" s="19">
        <f t="shared" si="11"/>
        <v>2</v>
      </c>
      <c r="W24" s="19">
        <f t="shared" si="11"/>
        <v>2</v>
      </c>
      <c r="X24" s="19">
        <f t="shared" si="11"/>
        <v>2</v>
      </c>
      <c r="Y24" s="19">
        <f t="shared" si="11"/>
        <v>0</v>
      </c>
      <c r="Z24" s="19">
        <f>Z22*10/60</f>
        <v>0</v>
      </c>
      <c r="AA24" s="26"/>
      <c r="AB24" s="13">
        <f>SUM(E24:Z24)</f>
        <v>37</v>
      </c>
    </row>
  </sheetData>
  <mergeCells count="6">
    <mergeCell ref="B2:C6"/>
    <mergeCell ref="D2:AB2"/>
    <mergeCell ref="D4:AB4"/>
    <mergeCell ref="D5:D6"/>
    <mergeCell ref="AA5:AA7"/>
    <mergeCell ref="AB5:AB7"/>
  </mergeCells>
  <pageMargins left="0.7" right="0.7" top="0.75" bottom="0.75" header="0.3" footer="0.3"/>
  <pageSetup scale="5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99D5-026F-4FD0-99DA-398E2FCDC6D0}">
  <sheetPr>
    <pageSetUpPr fitToPage="1"/>
  </sheetPr>
  <dimension ref="B1:AE24"/>
  <sheetViews>
    <sheetView showGridLines="0" topLeftCell="P1" zoomScale="80" zoomScaleNormal="80" workbookViewId="0">
      <pane ySplit="7" topLeftCell="A8" activePane="bottomLeft" state="frozen"/>
      <selection activeCell="T26" sqref="T26"/>
      <selection pane="bottomLeft" activeCell="T26" sqref="T26"/>
    </sheetView>
  </sheetViews>
  <sheetFormatPr defaultColWidth="15" defaultRowHeight="18.75" customHeight="1" x14ac:dyDescent="0.25"/>
  <cols>
    <col min="1" max="1" width="1" style="1" customWidth="1"/>
    <col min="2" max="2" width="5.109375" style="1" customWidth="1"/>
    <col min="3" max="3" width="23.44140625" style="1" customWidth="1"/>
    <col min="4" max="4" width="28.77734375" style="1" customWidth="1"/>
    <col min="5" max="21" width="15.6640625" style="1" bestFit="1" customWidth="1"/>
    <col min="22" max="28" width="15.6640625" style="1" customWidth="1"/>
    <col min="29" max="29" width="13.77734375" style="2" customWidth="1"/>
    <col min="30" max="30" width="6.77734375" style="1" customWidth="1"/>
    <col min="31" max="31" width="6.109375" style="1" customWidth="1"/>
    <col min="32" max="32" width="4.77734375" style="1" customWidth="1"/>
    <col min="33" max="33" width="3.77734375" style="1" customWidth="1"/>
    <col min="34" max="34" width="5.77734375" style="1" customWidth="1"/>
    <col min="35" max="35" width="8.109375" style="1" customWidth="1"/>
    <col min="36" max="36" width="7" style="1" customWidth="1"/>
    <col min="37" max="16384" width="15" style="1"/>
  </cols>
  <sheetData>
    <row r="1" spans="2:31" ht="4.5" customHeight="1" x14ac:dyDescent="0.25"/>
    <row r="2" spans="2:31" s="42" customFormat="1" ht="16.2" customHeight="1" x14ac:dyDescent="0.25">
      <c r="B2" s="59"/>
      <c r="C2" s="59"/>
      <c r="D2" s="80" t="s">
        <v>34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2:31" s="41" customFormat="1" ht="15.6" customHeight="1" x14ac:dyDescent="0.25">
      <c r="B3" s="59"/>
      <c r="C3" s="59"/>
      <c r="D3" s="37"/>
      <c r="E3" s="44" t="str">
        <f>"SEMANA 01: " &amp; SUM(E8:I19)</f>
        <v>SEMANA 01: 337</v>
      </c>
      <c r="F3" s="38"/>
      <c r="G3" s="38"/>
      <c r="H3" s="38"/>
      <c r="I3" s="43"/>
      <c r="J3" s="44" t="str">
        <f>"SEMANA 02: " &amp; SUM(J8:N19)</f>
        <v>SEMANA 02: 443</v>
      </c>
      <c r="K3" s="38"/>
      <c r="L3" s="38"/>
      <c r="M3" s="38"/>
      <c r="N3" s="43"/>
      <c r="O3" s="44" t="str">
        <f>"SEMANA 03: "&amp;SUM(O8:S19)</f>
        <v>SEMANA 03: 419</v>
      </c>
      <c r="P3" s="38"/>
      <c r="Q3" s="38"/>
      <c r="R3" s="38"/>
      <c r="S3" s="43"/>
      <c r="T3" s="53" t="str">
        <f>"SEMANA 04: "&amp;SUM(T8:X19)</f>
        <v>SEMANA 04: 335</v>
      </c>
      <c r="U3" s="38"/>
      <c r="V3" s="38"/>
      <c r="W3" s="38"/>
      <c r="X3" s="43"/>
      <c r="Y3" s="38" t="str">
        <f>"SEMANA 05: "&amp;SUM(Y8:AB20)</f>
        <v>SEMANA 05: 385</v>
      </c>
      <c r="Z3" s="56"/>
      <c r="AA3" s="56"/>
      <c r="AB3" s="38"/>
      <c r="AC3" s="39"/>
      <c r="AD3" s="40"/>
    </row>
    <row r="4" spans="2:31" ht="11.25" customHeight="1" x14ac:dyDescent="0.25">
      <c r="B4" s="59"/>
      <c r="C4" s="59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 spans="2:31" ht="12.75" customHeight="1" x14ac:dyDescent="0.25">
      <c r="B5" s="59"/>
      <c r="C5" s="59"/>
      <c r="D5" s="66" t="s">
        <v>2</v>
      </c>
      <c r="E5" s="23">
        <v>46111</v>
      </c>
      <c r="F5" s="23">
        <f>E5+1</f>
        <v>46112</v>
      </c>
      <c r="G5" s="23">
        <f>F5+1</f>
        <v>46113</v>
      </c>
      <c r="H5" s="23">
        <f>G5+1</f>
        <v>46114</v>
      </c>
      <c r="I5" s="23">
        <f>H5+1</f>
        <v>46115</v>
      </c>
      <c r="J5" s="22">
        <f>I5+3</f>
        <v>46118</v>
      </c>
      <c r="K5" s="22">
        <f>J5+1</f>
        <v>46119</v>
      </c>
      <c r="L5" s="22">
        <f>K5+1</f>
        <v>46120</v>
      </c>
      <c r="M5" s="22">
        <f>L5+1</f>
        <v>46121</v>
      </c>
      <c r="N5" s="22">
        <f>M5+1</f>
        <v>46122</v>
      </c>
      <c r="O5" s="22">
        <f>N5+3</f>
        <v>46125</v>
      </c>
      <c r="P5" s="22">
        <f>O5+1</f>
        <v>46126</v>
      </c>
      <c r="Q5" s="22">
        <f>P5+1</f>
        <v>46127</v>
      </c>
      <c r="R5" s="22">
        <f>Q5+1</f>
        <v>46128</v>
      </c>
      <c r="S5" s="22">
        <f>R5+1</f>
        <v>46129</v>
      </c>
      <c r="T5" s="22">
        <f>S5+3</f>
        <v>46132</v>
      </c>
      <c r="U5" s="22">
        <f>T5+1</f>
        <v>46133</v>
      </c>
      <c r="V5" s="22">
        <f>U5+1</f>
        <v>46134</v>
      </c>
      <c r="W5" s="22">
        <f>V5+1</f>
        <v>46135</v>
      </c>
      <c r="X5" s="22">
        <f>W5+1</f>
        <v>46136</v>
      </c>
      <c r="Y5" s="22">
        <v>46139</v>
      </c>
      <c r="Z5" s="22">
        <f t="shared" ref="Z5:AB5" si="0">Y5+1</f>
        <v>46140</v>
      </c>
      <c r="AA5" s="22">
        <f t="shared" si="0"/>
        <v>46141</v>
      </c>
      <c r="AB5" s="22">
        <f t="shared" si="0"/>
        <v>46142</v>
      </c>
      <c r="AC5" s="67" t="s">
        <v>3</v>
      </c>
      <c r="AD5" s="70" t="s">
        <v>4</v>
      </c>
    </row>
    <row r="6" spans="2:31" ht="15" customHeight="1" x14ac:dyDescent="0.25">
      <c r="B6" s="59"/>
      <c r="C6" s="59"/>
      <c r="D6" s="66"/>
      <c r="E6" s="14">
        <f t="shared" ref="E6:AB6" si="1">E5</f>
        <v>46111</v>
      </c>
      <c r="F6" s="14">
        <f t="shared" si="1"/>
        <v>46112</v>
      </c>
      <c r="G6" s="14">
        <f t="shared" si="1"/>
        <v>46113</v>
      </c>
      <c r="H6" s="14">
        <f t="shared" si="1"/>
        <v>46114</v>
      </c>
      <c r="I6" s="14">
        <f t="shared" si="1"/>
        <v>46115</v>
      </c>
      <c r="J6" s="14">
        <f t="shared" si="1"/>
        <v>46118</v>
      </c>
      <c r="K6" s="14">
        <f t="shared" si="1"/>
        <v>46119</v>
      </c>
      <c r="L6" s="14">
        <f t="shared" si="1"/>
        <v>46120</v>
      </c>
      <c r="M6" s="14">
        <f t="shared" si="1"/>
        <v>46121</v>
      </c>
      <c r="N6" s="14">
        <f t="shared" si="1"/>
        <v>46122</v>
      </c>
      <c r="O6" s="14">
        <f t="shared" si="1"/>
        <v>46125</v>
      </c>
      <c r="P6" s="14">
        <f t="shared" si="1"/>
        <v>46126</v>
      </c>
      <c r="Q6" s="14">
        <f t="shared" si="1"/>
        <v>46127</v>
      </c>
      <c r="R6" s="14">
        <f t="shared" si="1"/>
        <v>46128</v>
      </c>
      <c r="S6" s="14">
        <f t="shared" si="1"/>
        <v>46129</v>
      </c>
      <c r="T6" s="14">
        <f t="shared" si="1"/>
        <v>46132</v>
      </c>
      <c r="U6" s="14">
        <f t="shared" si="1"/>
        <v>46133</v>
      </c>
      <c r="V6" s="14">
        <f t="shared" si="1"/>
        <v>46134</v>
      </c>
      <c r="W6" s="14">
        <f t="shared" si="1"/>
        <v>46135</v>
      </c>
      <c r="X6" s="14">
        <f t="shared" si="1"/>
        <v>46136</v>
      </c>
      <c r="Y6" s="14">
        <f t="shared" si="1"/>
        <v>46139</v>
      </c>
      <c r="Z6" s="14">
        <f t="shared" si="1"/>
        <v>46140</v>
      </c>
      <c r="AA6" s="14">
        <f t="shared" si="1"/>
        <v>46141</v>
      </c>
      <c r="AB6" s="14">
        <f t="shared" si="1"/>
        <v>46142</v>
      </c>
      <c r="AC6" s="68"/>
      <c r="AD6" s="71"/>
    </row>
    <row r="7" spans="2:31" ht="14.25" customHeight="1" x14ac:dyDescent="0.25">
      <c r="B7" s="20" t="s">
        <v>5</v>
      </c>
      <c r="C7" s="20" t="s">
        <v>6</v>
      </c>
      <c r="D7" s="20" t="s">
        <v>7</v>
      </c>
      <c r="E7" s="21" t="s">
        <v>8</v>
      </c>
      <c r="F7" s="21" t="s">
        <v>8</v>
      </c>
      <c r="G7" s="21" t="s">
        <v>8</v>
      </c>
      <c r="H7" s="21" t="s">
        <v>8</v>
      </c>
      <c r="I7" s="21" t="s">
        <v>8</v>
      </c>
      <c r="J7" s="21" t="s">
        <v>8</v>
      </c>
      <c r="K7" s="21" t="s">
        <v>8</v>
      </c>
      <c r="L7" s="21" t="s">
        <v>8</v>
      </c>
      <c r="M7" s="21" t="s">
        <v>8</v>
      </c>
      <c r="N7" s="21" t="s">
        <v>8</v>
      </c>
      <c r="O7" s="21" t="s">
        <v>8</v>
      </c>
      <c r="P7" s="21" t="s">
        <v>8</v>
      </c>
      <c r="Q7" s="21" t="s">
        <v>8</v>
      </c>
      <c r="R7" s="21" t="s">
        <v>8</v>
      </c>
      <c r="S7" s="21" t="s">
        <v>8</v>
      </c>
      <c r="T7" s="21" t="s">
        <v>8</v>
      </c>
      <c r="U7" s="21" t="s">
        <v>8</v>
      </c>
      <c r="V7" s="21" t="s">
        <v>8</v>
      </c>
      <c r="W7" s="21" t="s">
        <v>8</v>
      </c>
      <c r="X7" s="21" t="s">
        <v>8</v>
      </c>
      <c r="Y7" s="21" t="s">
        <v>8</v>
      </c>
      <c r="Z7" s="21" t="s">
        <v>8</v>
      </c>
      <c r="AA7" s="21" t="s">
        <v>8</v>
      </c>
      <c r="AB7" s="21" t="s">
        <v>8</v>
      </c>
      <c r="AC7" s="69"/>
      <c r="AD7" s="72"/>
    </row>
    <row r="8" spans="2:31" ht="16.95" customHeight="1" x14ac:dyDescent="0.25">
      <c r="B8" s="3">
        <v>1</v>
      </c>
      <c r="C8" s="3" t="s">
        <v>9</v>
      </c>
      <c r="D8" s="4" t="s">
        <v>10</v>
      </c>
      <c r="E8" s="15">
        <v>3</v>
      </c>
      <c r="F8" s="15">
        <v>3</v>
      </c>
      <c r="G8" s="15">
        <v>3</v>
      </c>
      <c r="H8" s="15">
        <v>3</v>
      </c>
      <c r="I8" s="51"/>
      <c r="J8" s="15">
        <v>3</v>
      </c>
      <c r="K8" s="15">
        <v>3</v>
      </c>
      <c r="L8" s="15">
        <v>3</v>
      </c>
      <c r="M8" s="15">
        <v>3</v>
      </c>
      <c r="N8" s="15">
        <v>3</v>
      </c>
      <c r="O8" s="45">
        <v>3</v>
      </c>
      <c r="P8" s="45">
        <v>3</v>
      </c>
      <c r="Q8" s="15">
        <v>3</v>
      </c>
      <c r="R8" s="15">
        <v>3</v>
      </c>
      <c r="S8" s="15">
        <v>3</v>
      </c>
      <c r="T8" s="50"/>
      <c r="U8" s="15">
        <v>1</v>
      </c>
      <c r="V8" s="15">
        <v>2</v>
      </c>
      <c r="W8" s="15">
        <v>2</v>
      </c>
      <c r="X8" s="15">
        <v>2</v>
      </c>
      <c r="Y8" s="15">
        <v>2</v>
      </c>
      <c r="Z8" s="15">
        <v>2</v>
      </c>
      <c r="AA8" s="15">
        <v>2</v>
      </c>
      <c r="AB8" s="15">
        <v>2</v>
      </c>
      <c r="AC8" s="5">
        <f t="shared" ref="AC8:AC19" si="2">COUNTA(E8:AB8)</f>
        <v>22</v>
      </c>
      <c r="AD8" s="6">
        <f t="shared" ref="AD8:AD19" si="3">SUM(E8:AB8)</f>
        <v>57</v>
      </c>
    </row>
    <row r="9" spans="2:31" ht="16.95" customHeight="1" x14ac:dyDescent="0.25">
      <c r="B9" s="3">
        <v>2</v>
      </c>
      <c r="C9" s="3" t="s">
        <v>11</v>
      </c>
      <c r="D9" s="4" t="s">
        <v>12</v>
      </c>
      <c r="E9" s="15">
        <v>3</v>
      </c>
      <c r="F9" s="15">
        <v>5</v>
      </c>
      <c r="G9" s="15">
        <v>3</v>
      </c>
      <c r="H9" s="15">
        <v>5</v>
      </c>
      <c r="I9" s="51"/>
      <c r="J9" s="15">
        <v>6</v>
      </c>
      <c r="K9" s="15">
        <v>8</v>
      </c>
      <c r="L9" s="15">
        <v>6</v>
      </c>
      <c r="M9" s="15">
        <v>8</v>
      </c>
      <c r="N9" s="15">
        <v>6</v>
      </c>
      <c r="O9" s="45">
        <v>7</v>
      </c>
      <c r="P9" s="45">
        <v>6</v>
      </c>
      <c r="Q9" s="15">
        <v>7</v>
      </c>
      <c r="R9" s="15">
        <v>6</v>
      </c>
      <c r="S9" s="15">
        <v>7</v>
      </c>
      <c r="T9" s="50"/>
      <c r="U9" s="15">
        <v>7</v>
      </c>
      <c r="V9" s="1">
        <v>6</v>
      </c>
      <c r="W9" s="15">
        <v>7</v>
      </c>
      <c r="X9" s="1">
        <v>6</v>
      </c>
      <c r="Y9" s="15">
        <v>7</v>
      </c>
      <c r="Z9" s="15">
        <v>6</v>
      </c>
      <c r="AA9" s="15">
        <v>7</v>
      </c>
      <c r="AB9" s="15">
        <v>6</v>
      </c>
      <c r="AC9" s="5">
        <f t="shared" si="2"/>
        <v>22</v>
      </c>
      <c r="AD9" s="6">
        <f t="shared" si="3"/>
        <v>135</v>
      </c>
      <c r="AE9" s="31"/>
    </row>
    <row r="10" spans="2:31" ht="16.95" customHeight="1" x14ac:dyDescent="0.25">
      <c r="B10" s="3">
        <v>3</v>
      </c>
      <c r="C10" s="3" t="s">
        <v>13</v>
      </c>
      <c r="D10" s="4" t="s">
        <v>14</v>
      </c>
      <c r="E10" s="15">
        <v>14</v>
      </c>
      <c r="F10" s="15">
        <v>14</v>
      </c>
      <c r="G10" s="15">
        <v>12</v>
      </c>
      <c r="H10" s="15">
        <v>11</v>
      </c>
      <c r="I10" s="51"/>
      <c r="J10" s="15">
        <v>11</v>
      </c>
      <c r="K10" s="15">
        <v>11</v>
      </c>
      <c r="L10" s="15">
        <v>11</v>
      </c>
      <c r="M10" s="15">
        <v>11</v>
      </c>
      <c r="N10" s="15">
        <v>11</v>
      </c>
      <c r="O10" s="45">
        <v>10</v>
      </c>
      <c r="P10" s="45">
        <v>10</v>
      </c>
      <c r="Q10" s="15">
        <v>10</v>
      </c>
      <c r="R10" s="15">
        <v>10</v>
      </c>
      <c r="S10" s="15">
        <v>10</v>
      </c>
      <c r="T10" s="50"/>
      <c r="U10" s="1">
        <v>10</v>
      </c>
      <c r="V10" s="15">
        <v>10</v>
      </c>
      <c r="W10" s="15">
        <v>10</v>
      </c>
      <c r="X10" s="15">
        <v>10</v>
      </c>
      <c r="Y10" s="1">
        <v>9</v>
      </c>
      <c r="Z10" s="15">
        <v>9</v>
      </c>
      <c r="AA10" s="15">
        <v>9</v>
      </c>
      <c r="AB10" s="15">
        <v>9</v>
      </c>
      <c r="AC10" s="5">
        <f t="shared" si="2"/>
        <v>22</v>
      </c>
      <c r="AD10" s="6">
        <f t="shared" si="3"/>
        <v>232</v>
      </c>
    </row>
    <row r="11" spans="2:31" ht="16.95" customHeight="1" x14ac:dyDescent="0.25">
      <c r="B11" s="3">
        <v>4</v>
      </c>
      <c r="C11" s="3" t="s">
        <v>15</v>
      </c>
      <c r="D11" s="4" t="s">
        <v>16</v>
      </c>
      <c r="E11" s="15">
        <v>5</v>
      </c>
      <c r="F11" s="15">
        <v>5</v>
      </c>
      <c r="G11" s="15">
        <v>5</v>
      </c>
      <c r="H11" s="15">
        <v>5</v>
      </c>
      <c r="I11" s="51"/>
      <c r="J11" s="15">
        <v>6</v>
      </c>
      <c r="K11" s="15">
        <v>6</v>
      </c>
      <c r="L11" s="15">
        <v>6</v>
      </c>
      <c r="M11" s="15">
        <v>6</v>
      </c>
      <c r="N11" s="15">
        <v>6</v>
      </c>
      <c r="O11" s="45">
        <v>6</v>
      </c>
      <c r="P11" s="45">
        <v>6</v>
      </c>
      <c r="Q11" s="15">
        <v>6</v>
      </c>
      <c r="R11" s="1">
        <v>6</v>
      </c>
      <c r="S11" s="15">
        <v>6</v>
      </c>
      <c r="T11" s="50"/>
      <c r="U11" s="15">
        <v>6</v>
      </c>
      <c r="V11" s="15">
        <v>6</v>
      </c>
      <c r="W11" s="15">
        <v>6</v>
      </c>
      <c r="X11" s="15">
        <v>6</v>
      </c>
      <c r="Y11" s="15">
        <v>6</v>
      </c>
      <c r="Z11" s="15">
        <v>6</v>
      </c>
      <c r="AA11" s="15">
        <v>6</v>
      </c>
      <c r="AB11" s="15">
        <v>6</v>
      </c>
      <c r="AC11" s="5">
        <f t="shared" si="2"/>
        <v>22</v>
      </c>
      <c r="AD11" s="6">
        <f t="shared" si="3"/>
        <v>128</v>
      </c>
    </row>
    <row r="12" spans="2:31" ht="16.95" customHeight="1" x14ac:dyDescent="0.25">
      <c r="B12" s="3">
        <v>5</v>
      </c>
      <c r="C12" s="3" t="s">
        <v>17</v>
      </c>
      <c r="D12" s="4" t="s">
        <v>18</v>
      </c>
      <c r="E12" s="15">
        <v>7</v>
      </c>
      <c r="F12" s="15">
        <v>7</v>
      </c>
      <c r="G12" s="15">
        <v>7</v>
      </c>
      <c r="H12" s="15">
        <v>7</v>
      </c>
      <c r="I12" s="51"/>
      <c r="J12" s="15">
        <v>7</v>
      </c>
      <c r="K12" s="15">
        <v>7</v>
      </c>
      <c r="L12" s="15">
        <v>7</v>
      </c>
      <c r="M12" s="15">
        <v>7</v>
      </c>
      <c r="N12" s="15">
        <v>7</v>
      </c>
      <c r="O12" s="45">
        <v>7</v>
      </c>
      <c r="P12" s="45">
        <v>7</v>
      </c>
      <c r="Q12" s="15">
        <v>7</v>
      </c>
      <c r="R12" s="15">
        <v>7</v>
      </c>
      <c r="S12" s="1">
        <v>7</v>
      </c>
      <c r="T12" s="50"/>
      <c r="U12" s="15">
        <v>7</v>
      </c>
      <c r="V12" s="15">
        <v>7</v>
      </c>
      <c r="W12" s="15">
        <v>7</v>
      </c>
      <c r="X12" s="1">
        <v>7</v>
      </c>
      <c r="Y12" s="15">
        <v>7</v>
      </c>
      <c r="Z12" s="15">
        <v>6</v>
      </c>
      <c r="AA12" s="15">
        <v>6</v>
      </c>
      <c r="AB12" s="15">
        <v>6</v>
      </c>
      <c r="AC12" s="5">
        <f t="shared" si="2"/>
        <v>22</v>
      </c>
      <c r="AD12" s="6">
        <f t="shared" si="3"/>
        <v>151</v>
      </c>
    </row>
    <row r="13" spans="2:31" s="49" customFormat="1" ht="16.95" customHeight="1" x14ac:dyDescent="0.25">
      <c r="B13" s="46">
        <v>6</v>
      </c>
      <c r="C13" s="46" t="s">
        <v>19</v>
      </c>
      <c r="D13" s="47" t="s">
        <v>14</v>
      </c>
      <c r="E13" s="15">
        <v>10</v>
      </c>
      <c r="F13" s="15">
        <v>10</v>
      </c>
      <c r="G13" s="15">
        <v>10</v>
      </c>
      <c r="H13" s="15">
        <v>10</v>
      </c>
      <c r="I13" s="51"/>
      <c r="J13" s="15">
        <v>10</v>
      </c>
      <c r="K13" s="15">
        <v>10</v>
      </c>
      <c r="L13" s="15">
        <v>10</v>
      </c>
      <c r="M13" s="15">
        <v>10</v>
      </c>
      <c r="N13" s="15">
        <v>10</v>
      </c>
      <c r="O13" s="45">
        <v>10</v>
      </c>
      <c r="P13" s="45">
        <v>10</v>
      </c>
      <c r="Q13" s="15">
        <v>10</v>
      </c>
      <c r="R13" s="15">
        <v>10</v>
      </c>
      <c r="S13" s="15">
        <v>10</v>
      </c>
      <c r="T13" s="50"/>
      <c r="U13" s="15">
        <v>10</v>
      </c>
      <c r="V13" s="15">
        <v>10</v>
      </c>
      <c r="W13" s="15">
        <v>10</v>
      </c>
      <c r="X13" s="15">
        <v>10</v>
      </c>
      <c r="Y13" s="49">
        <v>10</v>
      </c>
      <c r="Z13" s="15">
        <v>10</v>
      </c>
      <c r="AA13" s="45">
        <v>9</v>
      </c>
      <c r="AB13" s="45">
        <v>10</v>
      </c>
      <c r="AC13" s="5">
        <f t="shared" si="2"/>
        <v>22</v>
      </c>
      <c r="AD13" s="6">
        <f t="shared" si="3"/>
        <v>219</v>
      </c>
      <c r="AE13" s="48"/>
    </row>
    <row r="14" spans="2:31" ht="16.95" customHeight="1" x14ac:dyDescent="0.25">
      <c r="B14" s="3">
        <v>7</v>
      </c>
      <c r="C14" s="3" t="s">
        <v>20</v>
      </c>
      <c r="D14" s="4" t="s">
        <v>21</v>
      </c>
      <c r="E14" s="15">
        <v>8</v>
      </c>
      <c r="F14" s="15">
        <v>8</v>
      </c>
      <c r="G14" s="15">
        <v>7</v>
      </c>
      <c r="H14" s="15">
        <v>7</v>
      </c>
      <c r="I14" s="51"/>
      <c r="J14" s="15">
        <v>8</v>
      </c>
      <c r="K14" s="15">
        <v>8</v>
      </c>
      <c r="L14" s="15">
        <v>8</v>
      </c>
      <c r="M14" s="15">
        <v>8</v>
      </c>
      <c r="N14" s="15">
        <v>8</v>
      </c>
      <c r="O14" s="45">
        <v>8</v>
      </c>
      <c r="P14" s="45">
        <v>8</v>
      </c>
      <c r="Q14" s="15">
        <v>8</v>
      </c>
      <c r="R14" s="15">
        <v>8</v>
      </c>
      <c r="S14" s="15">
        <v>8</v>
      </c>
      <c r="T14" s="50"/>
      <c r="U14" s="15">
        <v>8</v>
      </c>
      <c r="V14" s="15">
        <v>8</v>
      </c>
      <c r="W14" s="15">
        <v>8</v>
      </c>
      <c r="X14" s="15">
        <v>8</v>
      </c>
      <c r="Y14" s="15">
        <v>8</v>
      </c>
      <c r="Z14" s="15">
        <v>8</v>
      </c>
      <c r="AA14" s="1">
        <v>8</v>
      </c>
      <c r="AB14" s="15">
        <v>8</v>
      </c>
      <c r="AC14" s="5">
        <f t="shared" si="2"/>
        <v>22</v>
      </c>
      <c r="AD14" s="6">
        <f t="shared" si="3"/>
        <v>174</v>
      </c>
      <c r="AE14" s="31"/>
    </row>
    <row r="15" spans="2:31" ht="16.95" customHeight="1" x14ac:dyDescent="0.25">
      <c r="B15" s="3">
        <v>8</v>
      </c>
      <c r="C15" s="3" t="s">
        <v>22</v>
      </c>
      <c r="D15" s="4" t="s">
        <v>23</v>
      </c>
      <c r="E15" s="15">
        <v>5</v>
      </c>
      <c r="F15" s="15">
        <v>5</v>
      </c>
      <c r="G15" s="15">
        <v>5</v>
      </c>
      <c r="H15" s="15">
        <v>5</v>
      </c>
      <c r="I15" s="51"/>
      <c r="J15" s="15">
        <v>6</v>
      </c>
      <c r="K15" s="15">
        <v>6</v>
      </c>
      <c r="L15" s="15">
        <v>6</v>
      </c>
      <c r="M15" s="15">
        <v>6</v>
      </c>
      <c r="N15" s="15">
        <v>6</v>
      </c>
      <c r="O15" s="45">
        <v>5</v>
      </c>
      <c r="P15" s="45">
        <v>4</v>
      </c>
      <c r="Q15" s="15">
        <v>5</v>
      </c>
      <c r="R15" s="15">
        <v>5</v>
      </c>
      <c r="S15" s="15">
        <v>5</v>
      </c>
      <c r="T15" s="50"/>
      <c r="U15" s="15">
        <v>5</v>
      </c>
      <c r="V15" s="15">
        <v>5</v>
      </c>
      <c r="W15" s="15">
        <v>5</v>
      </c>
      <c r="X15" s="15">
        <v>5</v>
      </c>
      <c r="Y15" s="15">
        <v>5</v>
      </c>
      <c r="Z15" s="15">
        <v>5</v>
      </c>
      <c r="AA15" s="15">
        <v>5</v>
      </c>
      <c r="AB15" s="15">
        <v>5</v>
      </c>
      <c r="AC15" s="5">
        <f t="shared" si="2"/>
        <v>22</v>
      </c>
      <c r="AD15" s="6">
        <f t="shared" si="3"/>
        <v>114</v>
      </c>
      <c r="AE15" s="31"/>
    </row>
    <row r="16" spans="2:31" ht="16.95" customHeight="1" x14ac:dyDescent="0.25">
      <c r="B16" s="3">
        <v>9</v>
      </c>
      <c r="C16" s="3" t="s">
        <v>24</v>
      </c>
      <c r="D16" s="4" t="s">
        <v>14</v>
      </c>
      <c r="E16" s="15">
        <v>9</v>
      </c>
      <c r="F16" s="15">
        <v>9</v>
      </c>
      <c r="G16" s="15">
        <v>9</v>
      </c>
      <c r="H16" s="15">
        <v>9</v>
      </c>
      <c r="I16" s="51"/>
      <c r="J16" s="15">
        <v>8</v>
      </c>
      <c r="K16" s="1">
        <v>8</v>
      </c>
      <c r="L16" s="15">
        <v>8</v>
      </c>
      <c r="M16" s="15">
        <v>9</v>
      </c>
      <c r="N16" s="15">
        <v>7</v>
      </c>
      <c r="O16" s="45">
        <v>9</v>
      </c>
      <c r="P16" s="45">
        <v>9</v>
      </c>
      <c r="Q16" s="15">
        <v>8</v>
      </c>
      <c r="R16" s="15">
        <v>8</v>
      </c>
      <c r="S16" s="15">
        <v>8</v>
      </c>
      <c r="T16" s="50"/>
      <c r="U16" s="1">
        <v>9</v>
      </c>
      <c r="V16" s="15">
        <v>9</v>
      </c>
      <c r="W16" s="15">
        <v>9</v>
      </c>
      <c r="X16" s="15">
        <v>9</v>
      </c>
      <c r="Y16" s="15">
        <v>9</v>
      </c>
      <c r="Z16" s="15">
        <v>9</v>
      </c>
      <c r="AA16" s="15">
        <v>9</v>
      </c>
      <c r="AB16" s="1">
        <v>9</v>
      </c>
      <c r="AC16" s="5">
        <f t="shared" si="2"/>
        <v>22</v>
      </c>
      <c r="AD16" s="6">
        <f t="shared" si="3"/>
        <v>190</v>
      </c>
      <c r="AE16" s="31"/>
    </row>
    <row r="17" spans="2:31" ht="16.95" customHeight="1" x14ac:dyDescent="0.25">
      <c r="B17" s="3">
        <v>10</v>
      </c>
      <c r="C17" s="3" t="s">
        <v>25</v>
      </c>
      <c r="D17" s="4" t="s">
        <v>14</v>
      </c>
      <c r="E17" s="15">
        <v>11</v>
      </c>
      <c r="F17" s="15">
        <v>11</v>
      </c>
      <c r="G17" s="15">
        <v>9</v>
      </c>
      <c r="H17" s="15">
        <v>9</v>
      </c>
      <c r="I17" s="51"/>
      <c r="J17" s="15">
        <v>10</v>
      </c>
      <c r="K17" s="15">
        <v>10</v>
      </c>
      <c r="L17" s="15">
        <v>10</v>
      </c>
      <c r="M17" s="15">
        <v>10</v>
      </c>
      <c r="N17" s="15">
        <v>10</v>
      </c>
      <c r="O17" s="45">
        <v>9</v>
      </c>
      <c r="P17" s="45">
        <v>9</v>
      </c>
      <c r="Q17" s="15">
        <v>9</v>
      </c>
      <c r="R17" s="15">
        <v>9</v>
      </c>
      <c r="S17" s="15">
        <v>9</v>
      </c>
      <c r="T17" s="50"/>
      <c r="U17" s="15">
        <v>10</v>
      </c>
      <c r="V17" s="15">
        <v>10</v>
      </c>
      <c r="W17" s="15">
        <v>10</v>
      </c>
      <c r="X17" s="15">
        <v>10</v>
      </c>
      <c r="Y17" s="15">
        <v>9</v>
      </c>
      <c r="Z17" s="15">
        <v>9</v>
      </c>
      <c r="AA17" s="15">
        <v>9</v>
      </c>
      <c r="AB17" s="15">
        <v>9</v>
      </c>
      <c r="AC17" s="5">
        <f t="shared" si="2"/>
        <v>22</v>
      </c>
      <c r="AD17" s="6">
        <f t="shared" si="3"/>
        <v>211</v>
      </c>
    </row>
    <row r="18" spans="2:31" ht="16.95" customHeight="1" x14ac:dyDescent="0.25">
      <c r="B18" s="3">
        <v>11</v>
      </c>
      <c r="C18" s="3" t="s">
        <v>26</v>
      </c>
      <c r="D18" s="4" t="s">
        <v>27</v>
      </c>
      <c r="E18" s="15">
        <v>1</v>
      </c>
      <c r="F18" s="15">
        <v>1</v>
      </c>
      <c r="G18" s="15">
        <v>1</v>
      </c>
      <c r="H18" s="15">
        <v>1</v>
      </c>
      <c r="I18" s="51"/>
      <c r="J18" s="15">
        <v>3</v>
      </c>
      <c r="K18" s="15">
        <v>3</v>
      </c>
      <c r="L18" s="15">
        <v>3</v>
      </c>
      <c r="M18" s="15">
        <v>3</v>
      </c>
      <c r="N18" s="15">
        <v>3</v>
      </c>
      <c r="O18" s="45">
        <v>2</v>
      </c>
      <c r="P18" s="45">
        <v>2</v>
      </c>
      <c r="Q18" s="15">
        <v>2</v>
      </c>
      <c r="R18" s="15">
        <v>2</v>
      </c>
      <c r="S18" s="15">
        <v>2</v>
      </c>
      <c r="T18" s="50"/>
      <c r="U18" s="15">
        <v>3</v>
      </c>
      <c r="V18" s="15">
        <v>3</v>
      </c>
      <c r="W18" s="15">
        <v>3</v>
      </c>
      <c r="X18" s="15">
        <v>3</v>
      </c>
      <c r="Y18" s="15">
        <v>3</v>
      </c>
      <c r="Z18" s="15">
        <v>3</v>
      </c>
      <c r="AA18" s="15">
        <v>3</v>
      </c>
      <c r="AB18" s="15">
        <v>3</v>
      </c>
      <c r="AC18" s="5">
        <f t="shared" si="2"/>
        <v>22</v>
      </c>
      <c r="AD18" s="6">
        <f t="shared" si="3"/>
        <v>53</v>
      </c>
    </row>
    <row r="19" spans="2:31" ht="16.95" customHeight="1" x14ac:dyDescent="0.25">
      <c r="B19" s="3">
        <v>12</v>
      </c>
      <c r="C19" s="3" t="s">
        <v>35</v>
      </c>
      <c r="D19" s="4" t="s">
        <v>14</v>
      </c>
      <c r="E19" s="15">
        <v>10</v>
      </c>
      <c r="F19" s="15">
        <v>10</v>
      </c>
      <c r="G19" s="15">
        <v>10</v>
      </c>
      <c r="H19" s="15">
        <v>10</v>
      </c>
      <c r="I19" s="51"/>
      <c r="J19" s="15">
        <v>10</v>
      </c>
      <c r="K19" s="15">
        <v>10</v>
      </c>
      <c r="L19" s="15">
        <v>10</v>
      </c>
      <c r="M19" s="15">
        <v>10</v>
      </c>
      <c r="N19" s="15">
        <v>9</v>
      </c>
      <c r="O19" s="45">
        <v>10</v>
      </c>
      <c r="P19" s="45">
        <v>9</v>
      </c>
      <c r="Q19" s="15">
        <v>9</v>
      </c>
      <c r="R19" s="15">
        <v>9</v>
      </c>
      <c r="S19" s="15">
        <v>8</v>
      </c>
      <c r="T19" s="50"/>
      <c r="U19" s="15">
        <v>3</v>
      </c>
      <c r="V19" s="15">
        <v>9</v>
      </c>
      <c r="W19" s="15">
        <v>9</v>
      </c>
      <c r="X19" s="15">
        <v>9</v>
      </c>
      <c r="Y19" s="15">
        <v>9</v>
      </c>
      <c r="Z19" s="15">
        <v>9</v>
      </c>
      <c r="AA19" s="15">
        <v>9</v>
      </c>
      <c r="AB19" s="15">
        <v>9</v>
      </c>
      <c r="AC19" s="5">
        <f t="shared" si="2"/>
        <v>22</v>
      </c>
      <c r="AD19" s="6">
        <f t="shared" si="3"/>
        <v>200</v>
      </c>
      <c r="AE19" s="31"/>
    </row>
    <row r="20" spans="2:31" s="27" customFormat="1" ht="12" customHeight="1" thickBot="1" x14ac:dyDescent="0.3">
      <c r="D20" s="28"/>
      <c r="E20" s="29">
        <f t="shared" ref="E20:AA20" si="4">SUM(E8:E19)*10/60</f>
        <v>14.333333333333334</v>
      </c>
      <c r="F20" s="29">
        <f t="shared" si="4"/>
        <v>14.666666666666666</v>
      </c>
      <c r="G20" s="29">
        <f t="shared" si="4"/>
        <v>13.5</v>
      </c>
      <c r="H20" s="29">
        <f t="shared" si="4"/>
        <v>13.666666666666666</v>
      </c>
      <c r="I20" s="29">
        <f t="shared" si="4"/>
        <v>0</v>
      </c>
      <c r="J20" s="29">
        <f t="shared" si="4"/>
        <v>14.666666666666666</v>
      </c>
      <c r="K20" s="29">
        <f t="shared" si="4"/>
        <v>15</v>
      </c>
      <c r="L20" s="29">
        <f t="shared" si="4"/>
        <v>14.666666666666666</v>
      </c>
      <c r="M20" s="29">
        <f t="shared" si="4"/>
        <v>15.166666666666666</v>
      </c>
      <c r="N20" s="29">
        <f t="shared" si="4"/>
        <v>14.333333333333334</v>
      </c>
      <c r="O20" s="29">
        <f>SUM(O8:O19)*10/60</f>
        <v>14.333333333333334</v>
      </c>
      <c r="P20" s="29">
        <f t="shared" si="4"/>
        <v>13.833333333333334</v>
      </c>
      <c r="Q20" s="29">
        <f t="shared" si="4"/>
        <v>14</v>
      </c>
      <c r="R20" s="29">
        <f t="shared" si="4"/>
        <v>13.833333333333334</v>
      </c>
      <c r="S20" s="29">
        <f t="shared" si="4"/>
        <v>13.833333333333334</v>
      </c>
      <c r="T20" s="29">
        <f>SUM(T8:T19)*10/60</f>
        <v>0</v>
      </c>
      <c r="U20" s="29">
        <f t="shared" si="4"/>
        <v>13.166666666666666</v>
      </c>
      <c r="V20" s="29">
        <f t="shared" si="4"/>
        <v>14.166666666666666</v>
      </c>
      <c r="W20" s="29">
        <f t="shared" si="4"/>
        <v>14.333333333333334</v>
      </c>
      <c r="X20" s="29">
        <f>SUM(X8:X19)*10/60</f>
        <v>14.166666666666666</v>
      </c>
      <c r="Y20" s="29">
        <f t="shared" si="4"/>
        <v>14</v>
      </c>
      <c r="Z20" s="29">
        <f t="shared" si="4"/>
        <v>13.666666666666666</v>
      </c>
      <c r="AA20" s="29">
        <f t="shared" si="4"/>
        <v>13.666666666666666</v>
      </c>
      <c r="AB20" s="29">
        <f>SUM(AB8:AB19)*10/60</f>
        <v>13.666666666666666</v>
      </c>
      <c r="AC20" s="32">
        <f>SUM(E20:U20)</f>
        <v>213.00000000000003</v>
      </c>
      <c r="AD20" s="30"/>
    </row>
    <row r="21" spans="2:31" ht="26.25" customHeight="1" x14ac:dyDescent="0.25">
      <c r="D21" s="7" t="s">
        <v>29</v>
      </c>
      <c r="E21" s="16">
        <f t="shared" ref="E21:AA21" si="5">COUNT(E8:E19)</f>
        <v>12</v>
      </c>
      <c r="F21" s="16">
        <f t="shared" si="5"/>
        <v>12</v>
      </c>
      <c r="G21" s="16">
        <f t="shared" si="5"/>
        <v>12</v>
      </c>
      <c r="H21" s="16">
        <f t="shared" si="5"/>
        <v>12</v>
      </c>
      <c r="I21" s="16">
        <f t="shared" si="5"/>
        <v>0</v>
      </c>
      <c r="J21" s="16">
        <f t="shared" si="5"/>
        <v>12</v>
      </c>
      <c r="K21" s="16">
        <f t="shared" si="5"/>
        <v>12</v>
      </c>
      <c r="L21" s="16">
        <f t="shared" si="5"/>
        <v>12</v>
      </c>
      <c r="M21" s="16">
        <f t="shared" si="5"/>
        <v>12</v>
      </c>
      <c r="N21" s="16">
        <f t="shared" si="5"/>
        <v>12</v>
      </c>
      <c r="O21" s="16">
        <f>COUNT(O8:O19)</f>
        <v>12</v>
      </c>
      <c r="P21" s="16">
        <f t="shared" si="5"/>
        <v>12</v>
      </c>
      <c r="Q21" s="16">
        <f t="shared" si="5"/>
        <v>12</v>
      </c>
      <c r="R21" s="16">
        <f t="shared" si="5"/>
        <v>12</v>
      </c>
      <c r="S21" s="16">
        <f t="shared" si="5"/>
        <v>12</v>
      </c>
      <c r="T21" s="16">
        <f>COUNT(T8:T19)</f>
        <v>0</v>
      </c>
      <c r="U21" s="16">
        <f t="shared" si="5"/>
        <v>12</v>
      </c>
      <c r="V21" s="16">
        <f t="shared" si="5"/>
        <v>12</v>
      </c>
      <c r="W21" s="16">
        <f t="shared" si="5"/>
        <v>12</v>
      </c>
      <c r="X21" s="16">
        <f>COUNT(X8:X19)</f>
        <v>12</v>
      </c>
      <c r="Y21" s="16">
        <f t="shared" si="5"/>
        <v>12</v>
      </c>
      <c r="Z21" s="16">
        <f t="shared" si="5"/>
        <v>12</v>
      </c>
      <c r="AA21" s="16">
        <f t="shared" si="5"/>
        <v>12</v>
      </c>
      <c r="AB21" s="16">
        <f>COUNT(AB8:AB19)</f>
        <v>12</v>
      </c>
      <c r="AC21" s="24" t="s">
        <v>30</v>
      </c>
      <c r="AD21" s="8" t="s">
        <v>30</v>
      </c>
    </row>
    <row r="22" spans="2:31" ht="28.5" customHeight="1" x14ac:dyDescent="0.25">
      <c r="D22" s="9" t="s">
        <v>31</v>
      </c>
      <c r="E22" s="17">
        <f t="shared" ref="E22:AA22" si="6">COUNT(E8:E19)</f>
        <v>12</v>
      </c>
      <c r="F22" s="17">
        <f t="shared" si="6"/>
        <v>12</v>
      </c>
      <c r="G22" s="17">
        <f t="shared" si="6"/>
        <v>12</v>
      </c>
      <c r="H22" s="17">
        <f t="shared" si="6"/>
        <v>12</v>
      </c>
      <c r="I22" s="17">
        <f t="shared" si="6"/>
        <v>0</v>
      </c>
      <c r="J22" s="17">
        <f t="shared" si="6"/>
        <v>12</v>
      </c>
      <c r="K22" s="17">
        <f t="shared" si="6"/>
        <v>12</v>
      </c>
      <c r="L22" s="17">
        <f t="shared" si="6"/>
        <v>12</v>
      </c>
      <c r="M22" s="17">
        <f t="shared" si="6"/>
        <v>12</v>
      </c>
      <c r="N22" s="17">
        <f t="shared" si="6"/>
        <v>12</v>
      </c>
      <c r="O22" s="17">
        <f>COUNT(O8:O19)</f>
        <v>12</v>
      </c>
      <c r="P22" s="17">
        <f t="shared" si="6"/>
        <v>12</v>
      </c>
      <c r="Q22" s="17">
        <f t="shared" si="6"/>
        <v>12</v>
      </c>
      <c r="R22" s="17">
        <f t="shared" si="6"/>
        <v>12</v>
      </c>
      <c r="S22" s="17">
        <f t="shared" si="6"/>
        <v>12</v>
      </c>
      <c r="T22" s="17">
        <f>COUNT(T8:T19)</f>
        <v>0</v>
      </c>
      <c r="U22" s="17">
        <f t="shared" si="6"/>
        <v>12</v>
      </c>
      <c r="V22" s="17">
        <f t="shared" si="6"/>
        <v>12</v>
      </c>
      <c r="W22" s="17">
        <f t="shared" si="6"/>
        <v>12</v>
      </c>
      <c r="X22" s="17">
        <f>COUNT(X8:X19)</f>
        <v>12</v>
      </c>
      <c r="Y22" s="17">
        <f t="shared" si="6"/>
        <v>12</v>
      </c>
      <c r="Z22" s="17">
        <f t="shared" si="6"/>
        <v>12</v>
      </c>
      <c r="AA22" s="17">
        <f t="shared" si="6"/>
        <v>12</v>
      </c>
      <c r="AB22" s="17">
        <f>COUNT(AB8:AB19)</f>
        <v>12</v>
      </c>
      <c r="AC22" s="25" t="s">
        <v>30</v>
      </c>
      <c r="AD22" s="10">
        <f>SUM(E22:AB22)</f>
        <v>264</v>
      </c>
    </row>
    <row r="23" spans="2:31" ht="23.25" customHeight="1" x14ac:dyDescent="0.25">
      <c r="D23" s="9" t="s">
        <v>32</v>
      </c>
      <c r="E23" s="18">
        <f t="shared" ref="E23:AA23" si="7">SUM(E8:E19)</f>
        <v>86</v>
      </c>
      <c r="F23" s="18">
        <f t="shared" si="7"/>
        <v>88</v>
      </c>
      <c r="G23" s="18">
        <f t="shared" si="7"/>
        <v>81</v>
      </c>
      <c r="H23" s="18">
        <f t="shared" si="7"/>
        <v>82</v>
      </c>
      <c r="I23" s="18">
        <f t="shared" si="7"/>
        <v>0</v>
      </c>
      <c r="J23" s="18">
        <f t="shared" si="7"/>
        <v>88</v>
      </c>
      <c r="K23" s="18">
        <f t="shared" si="7"/>
        <v>90</v>
      </c>
      <c r="L23" s="18">
        <f t="shared" si="7"/>
        <v>88</v>
      </c>
      <c r="M23" s="18">
        <f t="shared" si="7"/>
        <v>91</v>
      </c>
      <c r="N23" s="18">
        <f t="shared" si="7"/>
        <v>86</v>
      </c>
      <c r="O23" s="18">
        <f>SUM(O8:O19)</f>
        <v>86</v>
      </c>
      <c r="P23" s="18">
        <f t="shared" si="7"/>
        <v>83</v>
      </c>
      <c r="Q23" s="18">
        <f t="shared" si="7"/>
        <v>84</v>
      </c>
      <c r="R23" s="18">
        <f t="shared" si="7"/>
        <v>83</v>
      </c>
      <c r="S23" s="18">
        <f t="shared" si="7"/>
        <v>83</v>
      </c>
      <c r="T23" s="18">
        <f>SUM(T8:T19)</f>
        <v>0</v>
      </c>
      <c r="U23" s="18">
        <f t="shared" si="7"/>
        <v>79</v>
      </c>
      <c r="V23" s="18">
        <f t="shared" si="7"/>
        <v>85</v>
      </c>
      <c r="W23" s="18">
        <f t="shared" si="7"/>
        <v>86</v>
      </c>
      <c r="X23" s="18">
        <f>SUM(X8:X19)</f>
        <v>85</v>
      </c>
      <c r="Y23" s="18">
        <f t="shared" si="7"/>
        <v>84</v>
      </c>
      <c r="Z23" s="18">
        <f t="shared" si="7"/>
        <v>82</v>
      </c>
      <c r="AA23" s="18">
        <f t="shared" si="7"/>
        <v>82</v>
      </c>
      <c r="AB23" s="18">
        <f>SUM(AB8:AB19)</f>
        <v>82</v>
      </c>
      <c r="AC23" s="25" t="s">
        <v>30</v>
      </c>
      <c r="AD23" s="11">
        <f>SUM(E23:AB23)</f>
        <v>1864</v>
      </c>
    </row>
    <row r="24" spans="2:31" ht="23.25" customHeight="1" thickBot="1" x14ac:dyDescent="0.3">
      <c r="D24" s="12" t="s">
        <v>33</v>
      </c>
      <c r="E24" s="19">
        <f t="shared" ref="E24:AA24" si="8">E22*10/60</f>
        <v>2</v>
      </c>
      <c r="F24" s="19">
        <f t="shared" si="8"/>
        <v>2</v>
      </c>
      <c r="G24" s="19">
        <f t="shared" si="8"/>
        <v>2</v>
      </c>
      <c r="H24" s="19">
        <f t="shared" si="8"/>
        <v>2</v>
      </c>
      <c r="I24" s="19">
        <f t="shared" si="8"/>
        <v>0</v>
      </c>
      <c r="J24" s="19">
        <f t="shared" si="8"/>
        <v>2</v>
      </c>
      <c r="K24" s="19">
        <f t="shared" si="8"/>
        <v>2</v>
      </c>
      <c r="L24" s="19">
        <f t="shared" si="8"/>
        <v>2</v>
      </c>
      <c r="M24" s="19">
        <f t="shared" si="8"/>
        <v>2</v>
      </c>
      <c r="N24" s="19">
        <f t="shared" si="8"/>
        <v>2</v>
      </c>
      <c r="O24" s="19">
        <f t="shared" si="8"/>
        <v>2</v>
      </c>
      <c r="P24" s="19">
        <f t="shared" si="8"/>
        <v>2</v>
      </c>
      <c r="Q24" s="19">
        <f t="shared" si="8"/>
        <v>2</v>
      </c>
      <c r="R24" s="19">
        <f t="shared" si="8"/>
        <v>2</v>
      </c>
      <c r="S24" s="19">
        <f t="shared" si="8"/>
        <v>2</v>
      </c>
      <c r="T24" s="19">
        <f t="shared" si="8"/>
        <v>0</v>
      </c>
      <c r="U24" s="19">
        <f t="shared" si="8"/>
        <v>2</v>
      </c>
      <c r="V24" s="19">
        <f t="shared" si="8"/>
        <v>2</v>
      </c>
      <c r="W24" s="19">
        <f t="shared" si="8"/>
        <v>2</v>
      </c>
      <c r="X24" s="19">
        <f t="shared" si="8"/>
        <v>2</v>
      </c>
      <c r="Y24" s="19">
        <f t="shared" si="8"/>
        <v>2</v>
      </c>
      <c r="Z24" s="19">
        <f t="shared" si="8"/>
        <v>2</v>
      </c>
      <c r="AA24" s="19">
        <f t="shared" si="8"/>
        <v>2</v>
      </c>
      <c r="AB24" s="19">
        <f>AB22*10/60</f>
        <v>2</v>
      </c>
      <c r="AC24" s="26"/>
      <c r="AD24" s="13">
        <f>SUM(E24:AB24)</f>
        <v>44</v>
      </c>
    </row>
  </sheetData>
  <mergeCells count="6">
    <mergeCell ref="B2:C6"/>
    <mergeCell ref="D2:AD2"/>
    <mergeCell ref="D4:AD4"/>
    <mergeCell ref="D5:D6"/>
    <mergeCell ref="AC5:AC7"/>
    <mergeCell ref="AD5:AD7"/>
  </mergeCells>
  <pageMargins left="0.7" right="0.7" top="0.75" bottom="0.75" header="0.3" footer="0.3"/>
  <pageSetup scale="2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11E7-B6E2-4643-ABD4-99BDE8CF8C77}">
  <sheetPr>
    <pageSetUpPr fitToPage="1"/>
  </sheetPr>
  <dimension ref="B1:AB24"/>
  <sheetViews>
    <sheetView showGridLines="0" topLeftCell="I1" zoomScale="70" zoomScaleNormal="70" workbookViewId="0">
      <pane ySplit="7" topLeftCell="A8" activePane="bottomLeft" state="frozen"/>
      <selection activeCell="T26" sqref="T26"/>
      <selection pane="bottomLeft" activeCell="T26" sqref="T26"/>
    </sheetView>
  </sheetViews>
  <sheetFormatPr defaultColWidth="15" defaultRowHeight="18.75" customHeight="1" x14ac:dyDescent="0.25"/>
  <cols>
    <col min="1" max="1" width="1" style="1" customWidth="1"/>
    <col min="2" max="2" width="5.109375" style="1" customWidth="1"/>
    <col min="3" max="3" width="23.44140625" style="1" customWidth="1"/>
    <col min="4" max="4" width="28.77734375" style="1" customWidth="1"/>
    <col min="5" max="8" width="15.6640625" style="1" bestFit="1" customWidth="1"/>
    <col min="9" max="9" width="15.6640625" style="1" customWidth="1"/>
    <col min="10" max="12" width="15.6640625" style="1" bestFit="1" customWidth="1"/>
    <col min="13" max="13" width="15.6640625" style="1" customWidth="1"/>
    <col min="14" max="22" width="15.6640625" style="1" bestFit="1" customWidth="1"/>
    <col min="23" max="25" width="15.6640625" style="1" customWidth="1"/>
    <col min="26" max="26" width="13.77734375" style="2" customWidth="1"/>
    <col min="27" max="27" width="6.77734375" style="1" customWidth="1"/>
    <col min="28" max="28" width="6.109375" style="1" customWidth="1"/>
    <col min="29" max="29" width="4.77734375" style="1" customWidth="1"/>
    <col min="30" max="30" width="3.77734375" style="1" customWidth="1"/>
    <col min="31" max="31" width="5.77734375" style="1" customWidth="1"/>
    <col min="32" max="32" width="8.109375" style="1" customWidth="1"/>
    <col min="33" max="33" width="7" style="1" customWidth="1"/>
    <col min="34" max="16384" width="15" style="1"/>
  </cols>
  <sheetData>
    <row r="1" spans="2:28" ht="4.5" customHeight="1" x14ac:dyDescent="0.25"/>
    <row r="2" spans="2:28" s="42" customFormat="1" ht="16.2" customHeight="1" x14ac:dyDescent="0.25">
      <c r="B2" s="59"/>
      <c r="C2" s="59"/>
      <c r="D2" s="80" t="s">
        <v>34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</row>
    <row r="3" spans="2:28" s="41" customFormat="1" ht="15.6" customHeight="1" x14ac:dyDescent="0.25">
      <c r="B3" s="59"/>
      <c r="C3" s="59"/>
      <c r="D3" s="37"/>
      <c r="E3" s="44" t="str">
        <f>"SEMANA 01: " &amp; SUM(E8:J19)</f>
        <v>SEMANA 01: 430</v>
      </c>
      <c r="F3" s="38"/>
      <c r="G3" s="38"/>
      <c r="H3" s="38"/>
      <c r="I3" s="38"/>
      <c r="J3" s="43"/>
      <c r="K3" s="44" t="str">
        <f>"SEMANA 02: " &amp; SUM(K8:O19)</f>
        <v>SEMANA 02: 426</v>
      </c>
      <c r="L3" s="38"/>
      <c r="M3" s="38"/>
      <c r="N3" s="38"/>
      <c r="O3" s="43"/>
      <c r="P3" s="44" t="str">
        <f>"SEMANA 03: "&amp;SUM(P8:T19)</f>
        <v>SEMANA 03: 438</v>
      </c>
      <c r="Q3" s="38"/>
      <c r="R3" s="38"/>
      <c r="S3" s="38"/>
      <c r="T3" s="43"/>
      <c r="U3" s="44" t="str">
        <f>"SEMANA 04: "&amp;SUM(U8:Y19)</f>
        <v>SEMANA 04: 436</v>
      </c>
      <c r="V3" s="38"/>
      <c r="W3" s="38"/>
      <c r="X3" s="38"/>
      <c r="Y3" s="38"/>
      <c r="Z3" s="39"/>
      <c r="AA3" s="40"/>
    </row>
    <row r="4" spans="2:28" ht="11.25" customHeight="1" x14ac:dyDescent="0.25">
      <c r="B4" s="59"/>
      <c r="C4" s="59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 spans="2:28" ht="12.75" customHeight="1" x14ac:dyDescent="0.25">
      <c r="B5" s="59"/>
      <c r="C5" s="59"/>
      <c r="D5" s="66" t="s">
        <v>2</v>
      </c>
      <c r="E5" s="23">
        <v>46143</v>
      </c>
      <c r="F5" s="23">
        <v>46146</v>
      </c>
      <c r="G5" s="23">
        <v>46147</v>
      </c>
      <c r="H5" s="23">
        <v>46148</v>
      </c>
      <c r="I5" s="23">
        <v>46149</v>
      </c>
      <c r="J5" s="23">
        <v>46150</v>
      </c>
      <c r="K5" s="23">
        <v>46153</v>
      </c>
      <c r="L5" s="23">
        <v>46154</v>
      </c>
      <c r="M5" s="23">
        <v>46155</v>
      </c>
      <c r="N5" s="23">
        <v>46156</v>
      </c>
      <c r="O5" s="23">
        <v>46157</v>
      </c>
      <c r="P5" s="23">
        <v>46160</v>
      </c>
      <c r="Q5" s="23">
        <v>46161</v>
      </c>
      <c r="R5" s="23">
        <v>46162</v>
      </c>
      <c r="S5" s="23">
        <v>46163</v>
      </c>
      <c r="T5" s="23">
        <v>46164</v>
      </c>
      <c r="U5" s="23">
        <v>46167</v>
      </c>
      <c r="V5" s="23">
        <v>46168</v>
      </c>
      <c r="W5" s="23">
        <v>46169</v>
      </c>
      <c r="X5" s="23">
        <v>46170</v>
      </c>
      <c r="Y5" s="23">
        <v>46171</v>
      </c>
      <c r="Z5" s="67" t="s">
        <v>3</v>
      </c>
      <c r="AA5" s="70" t="s">
        <v>4</v>
      </c>
    </row>
    <row r="6" spans="2:28" ht="15" customHeight="1" x14ac:dyDescent="0.25">
      <c r="B6" s="59"/>
      <c r="C6" s="59"/>
      <c r="D6" s="66"/>
      <c r="E6" s="14">
        <f t="shared" ref="E6:Y6" si="0">E5</f>
        <v>46143</v>
      </c>
      <c r="F6" s="14">
        <f t="shared" si="0"/>
        <v>46146</v>
      </c>
      <c r="G6" s="14">
        <f t="shared" si="0"/>
        <v>46147</v>
      </c>
      <c r="H6" s="14">
        <f t="shared" si="0"/>
        <v>46148</v>
      </c>
      <c r="I6" s="14">
        <f t="shared" si="0"/>
        <v>46149</v>
      </c>
      <c r="J6" s="14">
        <f t="shared" si="0"/>
        <v>46150</v>
      </c>
      <c r="K6" s="14">
        <f t="shared" si="0"/>
        <v>46153</v>
      </c>
      <c r="L6" s="14">
        <f t="shared" si="0"/>
        <v>46154</v>
      </c>
      <c r="M6" s="14">
        <f t="shared" si="0"/>
        <v>46155</v>
      </c>
      <c r="N6" s="14">
        <f t="shared" si="0"/>
        <v>46156</v>
      </c>
      <c r="O6" s="14">
        <f t="shared" si="0"/>
        <v>46157</v>
      </c>
      <c r="P6" s="14">
        <f t="shared" si="0"/>
        <v>46160</v>
      </c>
      <c r="Q6" s="14">
        <f t="shared" si="0"/>
        <v>46161</v>
      </c>
      <c r="R6" s="14">
        <f t="shared" si="0"/>
        <v>46162</v>
      </c>
      <c r="S6" s="14">
        <f t="shared" si="0"/>
        <v>46163</v>
      </c>
      <c r="T6" s="14">
        <f t="shared" si="0"/>
        <v>46164</v>
      </c>
      <c r="U6" s="14">
        <f t="shared" si="0"/>
        <v>46167</v>
      </c>
      <c r="V6" s="14">
        <f t="shared" si="0"/>
        <v>46168</v>
      </c>
      <c r="W6" s="14">
        <f t="shared" si="0"/>
        <v>46169</v>
      </c>
      <c r="X6" s="14">
        <f t="shared" si="0"/>
        <v>46170</v>
      </c>
      <c r="Y6" s="14">
        <f t="shared" si="0"/>
        <v>46171</v>
      </c>
      <c r="Z6" s="68"/>
      <c r="AA6" s="71"/>
    </row>
    <row r="7" spans="2:28" ht="14.25" customHeight="1" x14ac:dyDescent="0.25">
      <c r="B7" s="20" t="s">
        <v>5</v>
      </c>
      <c r="C7" s="20" t="s">
        <v>6</v>
      </c>
      <c r="D7" s="20" t="s">
        <v>7</v>
      </c>
      <c r="E7" s="21" t="s">
        <v>8</v>
      </c>
      <c r="F7" s="21" t="s">
        <v>8</v>
      </c>
      <c r="G7" s="21" t="s">
        <v>8</v>
      </c>
      <c r="H7" s="21" t="s">
        <v>8</v>
      </c>
      <c r="I7" s="21" t="s">
        <v>8</v>
      </c>
      <c r="J7" s="21" t="s">
        <v>8</v>
      </c>
      <c r="K7" s="21" t="s">
        <v>8</v>
      </c>
      <c r="L7" s="21" t="s">
        <v>8</v>
      </c>
      <c r="M7" s="21" t="s">
        <v>8</v>
      </c>
      <c r="N7" s="21" t="s">
        <v>8</v>
      </c>
      <c r="O7" s="21" t="s">
        <v>8</v>
      </c>
      <c r="P7" s="21" t="s">
        <v>8</v>
      </c>
      <c r="Q7" s="21" t="s">
        <v>8</v>
      </c>
      <c r="R7" s="21" t="s">
        <v>8</v>
      </c>
      <c r="S7" s="21" t="s">
        <v>8</v>
      </c>
      <c r="T7" s="21" t="s">
        <v>8</v>
      </c>
      <c r="U7" s="21" t="s">
        <v>8</v>
      </c>
      <c r="V7" s="21" t="s">
        <v>8</v>
      </c>
      <c r="W7" s="21" t="s">
        <v>8</v>
      </c>
      <c r="X7" s="21" t="s">
        <v>8</v>
      </c>
      <c r="Y7" s="21" t="s">
        <v>8</v>
      </c>
      <c r="Z7" s="69"/>
      <c r="AA7" s="72"/>
    </row>
    <row r="8" spans="2:28" ht="16.95" customHeight="1" x14ac:dyDescent="0.25">
      <c r="B8" s="3">
        <v>1</v>
      </c>
      <c r="C8" s="3" t="s">
        <v>9</v>
      </c>
      <c r="D8" s="4" t="s">
        <v>10</v>
      </c>
      <c r="E8" s="50"/>
      <c r="F8" s="15">
        <v>2</v>
      </c>
      <c r="G8" s="15">
        <v>2</v>
      </c>
      <c r="H8" s="15">
        <v>2</v>
      </c>
      <c r="I8" s="15">
        <v>2</v>
      </c>
      <c r="J8" s="52">
        <v>2</v>
      </c>
      <c r="K8" s="15">
        <v>2</v>
      </c>
      <c r="L8" s="15">
        <v>2</v>
      </c>
      <c r="M8" s="15">
        <v>2</v>
      </c>
      <c r="N8" s="15">
        <v>2</v>
      </c>
      <c r="O8" s="15">
        <v>2</v>
      </c>
      <c r="P8" s="45">
        <v>2</v>
      </c>
      <c r="Q8" s="45">
        <v>2</v>
      </c>
      <c r="R8" s="15">
        <v>2</v>
      </c>
      <c r="S8" s="15">
        <v>2</v>
      </c>
      <c r="T8" s="15">
        <v>2</v>
      </c>
      <c r="U8" s="45">
        <v>2</v>
      </c>
      <c r="V8" s="15">
        <v>2</v>
      </c>
      <c r="W8" s="15">
        <v>2</v>
      </c>
      <c r="X8" s="15">
        <v>2</v>
      </c>
      <c r="Y8" s="15">
        <v>2</v>
      </c>
      <c r="Z8" s="5">
        <f>COUNTA(E8:Y8)</f>
        <v>20</v>
      </c>
      <c r="AA8" s="6">
        <f t="shared" ref="AA8:AA19" si="1">SUM(E8:Y8)</f>
        <v>40</v>
      </c>
      <c r="AB8" s="1">
        <f>Z8*10/60</f>
        <v>3.3333333333333335</v>
      </c>
    </row>
    <row r="9" spans="2:28" ht="16.95" customHeight="1" x14ac:dyDescent="0.25">
      <c r="B9" s="3">
        <v>2</v>
      </c>
      <c r="C9" s="3" t="s">
        <v>11</v>
      </c>
      <c r="D9" s="4" t="s">
        <v>12</v>
      </c>
      <c r="E9" s="50"/>
      <c r="F9" s="15">
        <v>5</v>
      </c>
      <c r="G9" s="15">
        <v>7</v>
      </c>
      <c r="H9" s="15">
        <v>5</v>
      </c>
      <c r="I9" s="15">
        <v>7</v>
      </c>
      <c r="J9" s="52">
        <v>5</v>
      </c>
      <c r="K9" s="15">
        <v>7</v>
      </c>
      <c r="L9" s="15">
        <v>5</v>
      </c>
      <c r="M9" s="15">
        <v>7</v>
      </c>
      <c r="N9" s="15">
        <v>5</v>
      </c>
      <c r="O9" s="15">
        <v>7</v>
      </c>
      <c r="P9" s="45">
        <v>5</v>
      </c>
      <c r="Q9" s="45">
        <v>7</v>
      </c>
      <c r="R9" s="15">
        <v>5</v>
      </c>
      <c r="S9" s="15">
        <v>7</v>
      </c>
      <c r="T9" s="15">
        <v>5</v>
      </c>
      <c r="U9" s="45">
        <v>7</v>
      </c>
      <c r="V9" s="15">
        <v>5</v>
      </c>
      <c r="W9" s="1">
        <v>7</v>
      </c>
      <c r="X9" s="15">
        <v>5</v>
      </c>
      <c r="Y9" s="1">
        <v>7</v>
      </c>
      <c r="Z9" s="5">
        <f t="shared" ref="Z9:Z19" si="2">COUNTA(E9:Y9)</f>
        <v>20</v>
      </c>
      <c r="AA9" s="6">
        <f t="shared" si="1"/>
        <v>120</v>
      </c>
      <c r="AB9" s="1">
        <f t="shared" ref="AB9:AB18" si="3">Z9*10/60</f>
        <v>3.3333333333333335</v>
      </c>
    </row>
    <row r="10" spans="2:28" ht="16.95" customHeight="1" x14ac:dyDescent="0.25">
      <c r="B10" s="3">
        <v>3</v>
      </c>
      <c r="C10" s="3" t="s">
        <v>13</v>
      </c>
      <c r="D10" s="4" t="s">
        <v>14</v>
      </c>
      <c r="E10" s="50"/>
      <c r="F10" s="15">
        <v>11</v>
      </c>
      <c r="G10" s="15">
        <v>12</v>
      </c>
      <c r="H10" s="15">
        <v>12</v>
      </c>
      <c r="I10" s="15">
        <v>12</v>
      </c>
      <c r="J10" s="52">
        <v>10</v>
      </c>
      <c r="K10" s="15">
        <v>12</v>
      </c>
      <c r="L10" s="15">
        <v>12</v>
      </c>
      <c r="M10" s="15">
        <v>12</v>
      </c>
      <c r="N10" s="15">
        <v>13</v>
      </c>
      <c r="O10" s="15">
        <v>12</v>
      </c>
      <c r="P10" s="45">
        <v>13</v>
      </c>
      <c r="Q10" s="45">
        <v>13</v>
      </c>
      <c r="R10" s="15">
        <v>13</v>
      </c>
      <c r="S10" s="15">
        <v>13</v>
      </c>
      <c r="T10" s="15">
        <v>13</v>
      </c>
      <c r="U10" s="45">
        <v>13</v>
      </c>
      <c r="V10" s="1">
        <v>13</v>
      </c>
      <c r="W10" s="15">
        <v>13</v>
      </c>
      <c r="X10" s="15">
        <v>13</v>
      </c>
      <c r="Y10" s="15">
        <v>13</v>
      </c>
      <c r="Z10" s="5">
        <f t="shared" si="2"/>
        <v>20</v>
      </c>
      <c r="AA10" s="6">
        <f t="shared" si="1"/>
        <v>248</v>
      </c>
      <c r="AB10" s="1">
        <f t="shared" si="3"/>
        <v>3.3333333333333335</v>
      </c>
    </row>
    <row r="11" spans="2:28" ht="16.95" customHeight="1" x14ac:dyDescent="0.25">
      <c r="B11" s="3">
        <v>4</v>
      </c>
      <c r="C11" s="3" t="s">
        <v>15</v>
      </c>
      <c r="D11" s="4" t="s">
        <v>16</v>
      </c>
      <c r="E11" s="50"/>
      <c r="F11" s="15">
        <v>7</v>
      </c>
      <c r="G11" s="15">
        <v>7</v>
      </c>
      <c r="H11" s="15">
        <v>7</v>
      </c>
      <c r="I11" s="15">
        <v>7</v>
      </c>
      <c r="J11" s="52">
        <v>7</v>
      </c>
      <c r="K11" s="15">
        <v>7</v>
      </c>
      <c r="L11" s="15">
        <v>7</v>
      </c>
      <c r="M11" s="15">
        <v>7</v>
      </c>
      <c r="N11" s="15">
        <v>7</v>
      </c>
      <c r="O11" s="15">
        <v>7</v>
      </c>
      <c r="P11" s="45">
        <v>7</v>
      </c>
      <c r="Q11" s="45">
        <v>7</v>
      </c>
      <c r="R11" s="15">
        <v>7</v>
      </c>
      <c r="S11" s="1">
        <v>7</v>
      </c>
      <c r="T11" s="15">
        <v>7</v>
      </c>
      <c r="U11" s="45">
        <v>6</v>
      </c>
      <c r="V11" s="15">
        <v>6</v>
      </c>
      <c r="W11" s="15">
        <v>6</v>
      </c>
      <c r="X11" s="15">
        <v>6</v>
      </c>
      <c r="Y11" s="15">
        <v>6</v>
      </c>
      <c r="Z11" s="5">
        <f t="shared" si="2"/>
        <v>20</v>
      </c>
      <c r="AA11" s="6">
        <f t="shared" si="1"/>
        <v>135</v>
      </c>
      <c r="AB11" s="1">
        <f t="shared" si="3"/>
        <v>3.3333333333333335</v>
      </c>
    </row>
    <row r="12" spans="2:28" ht="16.95" customHeight="1" x14ac:dyDescent="0.25">
      <c r="B12" s="3">
        <v>5</v>
      </c>
      <c r="C12" s="3" t="s">
        <v>17</v>
      </c>
      <c r="D12" s="4" t="s">
        <v>18</v>
      </c>
      <c r="E12" s="50"/>
      <c r="F12" s="15">
        <v>7</v>
      </c>
      <c r="G12" s="15">
        <v>6</v>
      </c>
      <c r="H12" s="15">
        <v>6</v>
      </c>
      <c r="I12" s="15">
        <v>6</v>
      </c>
      <c r="J12" s="52">
        <v>6</v>
      </c>
      <c r="K12" s="15">
        <v>7</v>
      </c>
      <c r="L12" s="15">
        <v>6</v>
      </c>
      <c r="M12" s="15">
        <v>6</v>
      </c>
      <c r="N12" s="15">
        <v>6</v>
      </c>
      <c r="O12" s="15">
        <v>6</v>
      </c>
      <c r="P12" s="45">
        <v>7</v>
      </c>
      <c r="Q12" s="45">
        <v>7</v>
      </c>
      <c r="R12" s="15">
        <v>5</v>
      </c>
      <c r="S12" s="15">
        <v>5</v>
      </c>
      <c r="T12" s="1">
        <v>6</v>
      </c>
      <c r="U12" s="45">
        <v>6</v>
      </c>
      <c r="V12" s="15">
        <v>6</v>
      </c>
      <c r="W12" s="15">
        <v>6</v>
      </c>
      <c r="X12" s="15">
        <v>6</v>
      </c>
      <c r="Y12" s="1">
        <v>6</v>
      </c>
      <c r="Z12" s="5">
        <f t="shared" si="2"/>
        <v>20</v>
      </c>
      <c r="AA12" s="6">
        <f t="shared" si="1"/>
        <v>122</v>
      </c>
      <c r="AB12" s="1">
        <f t="shared" si="3"/>
        <v>3.3333333333333335</v>
      </c>
    </row>
    <row r="13" spans="2:28" s="49" customFormat="1" ht="16.95" customHeight="1" x14ac:dyDescent="0.25">
      <c r="B13" s="46">
        <v>6</v>
      </c>
      <c r="C13" s="46" t="s">
        <v>19</v>
      </c>
      <c r="D13" s="47" t="s">
        <v>14</v>
      </c>
      <c r="E13" s="50"/>
      <c r="F13" s="15">
        <v>10</v>
      </c>
      <c r="G13" s="15">
        <v>10</v>
      </c>
      <c r="H13" s="15">
        <v>10</v>
      </c>
      <c r="I13" s="15">
        <v>10</v>
      </c>
      <c r="J13" s="52">
        <v>10</v>
      </c>
      <c r="K13" s="15">
        <v>10</v>
      </c>
      <c r="L13" s="15">
        <v>10</v>
      </c>
      <c r="M13" s="15">
        <v>9</v>
      </c>
      <c r="N13" s="15">
        <v>10</v>
      </c>
      <c r="O13" s="15">
        <v>10</v>
      </c>
      <c r="P13" s="45">
        <v>10</v>
      </c>
      <c r="Q13" s="45">
        <v>10</v>
      </c>
      <c r="R13" s="15">
        <v>10</v>
      </c>
      <c r="S13" s="15">
        <v>9</v>
      </c>
      <c r="T13" s="15">
        <v>10</v>
      </c>
      <c r="U13" s="45">
        <v>10</v>
      </c>
      <c r="V13" s="15">
        <v>10</v>
      </c>
      <c r="W13" s="15">
        <v>10</v>
      </c>
      <c r="X13" s="15">
        <v>10</v>
      </c>
      <c r="Y13" s="15">
        <v>10</v>
      </c>
      <c r="Z13" s="5">
        <f t="shared" si="2"/>
        <v>20</v>
      </c>
      <c r="AA13" s="6">
        <f t="shared" si="1"/>
        <v>198</v>
      </c>
      <c r="AB13" s="1">
        <f t="shared" si="3"/>
        <v>3.3333333333333335</v>
      </c>
    </row>
    <row r="14" spans="2:28" ht="16.95" customHeight="1" x14ac:dyDescent="0.25">
      <c r="B14" s="3">
        <v>7</v>
      </c>
      <c r="C14" s="3" t="s">
        <v>20</v>
      </c>
      <c r="D14" s="4" t="s">
        <v>21</v>
      </c>
      <c r="E14" s="50"/>
      <c r="F14" s="15">
        <v>9</v>
      </c>
      <c r="G14" s="15">
        <v>8</v>
      </c>
      <c r="H14" s="15">
        <v>8</v>
      </c>
      <c r="I14" s="15">
        <v>8</v>
      </c>
      <c r="J14" s="52">
        <v>8</v>
      </c>
      <c r="K14" s="15">
        <v>8</v>
      </c>
      <c r="L14" s="15">
        <v>8</v>
      </c>
      <c r="M14" s="15">
        <v>7</v>
      </c>
      <c r="N14" s="15">
        <v>7</v>
      </c>
      <c r="O14" s="15">
        <v>7</v>
      </c>
      <c r="P14" s="45">
        <v>8</v>
      </c>
      <c r="Q14" s="45">
        <v>8</v>
      </c>
      <c r="R14" s="15">
        <v>8</v>
      </c>
      <c r="S14" s="15">
        <v>8</v>
      </c>
      <c r="T14" s="15">
        <v>8</v>
      </c>
      <c r="U14" s="45">
        <v>8</v>
      </c>
      <c r="V14" s="15">
        <v>8</v>
      </c>
      <c r="W14" s="15">
        <v>8</v>
      </c>
      <c r="X14" s="15">
        <v>7</v>
      </c>
      <c r="Y14" s="15">
        <v>7</v>
      </c>
      <c r="Z14" s="5">
        <f t="shared" si="2"/>
        <v>20</v>
      </c>
      <c r="AA14" s="6">
        <f t="shared" si="1"/>
        <v>156</v>
      </c>
      <c r="AB14" s="1">
        <f t="shared" si="3"/>
        <v>3.3333333333333335</v>
      </c>
    </row>
    <row r="15" spans="2:28" ht="16.95" customHeight="1" x14ac:dyDescent="0.25">
      <c r="B15" s="3">
        <v>8</v>
      </c>
      <c r="C15" s="3" t="s">
        <v>22</v>
      </c>
      <c r="D15" s="4" t="s">
        <v>23</v>
      </c>
      <c r="E15" s="50"/>
      <c r="F15" s="15">
        <v>5</v>
      </c>
      <c r="G15" s="15">
        <v>5</v>
      </c>
      <c r="H15" s="15">
        <v>5</v>
      </c>
      <c r="I15" s="15">
        <v>5</v>
      </c>
      <c r="J15" s="52">
        <v>5</v>
      </c>
      <c r="K15" s="15">
        <v>5</v>
      </c>
      <c r="L15" s="15">
        <v>5</v>
      </c>
      <c r="M15" s="15">
        <v>5</v>
      </c>
      <c r="N15" s="15">
        <v>4</v>
      </c>
      <c r="O15" s="15">
        <v>4</v>
      </c>
      <c r="P15" s="45">
        <v>5</v>
      </c>
      <c r="Q15" s="45">
        <v>5</v>
      </c>
      <c r="R15" s="15">
        <v>4</v>
      </c>
      <c r="S15" s="15">
        <v>4</v>
      </c>
      <c r="T15" s="15">
        <v>4</v>
      </c>
      <c r="U15" s="45">
        <v>5</v>
      </c>
      <c r="V15" s="15">
        <v>5</v>
      </c>
      <c r="W15" s="15">
        <v>5</v>
      </c>
      <c r="X15" s="15">
        <v>3</v>
      </c>
      <c r="Y15" s="15">
        <v>4</v>
      </c>
      <c r="Z15" s="5">
        <f t="shared" si="2"/>
        <v>20</v>
      </c>
      <c r="AA15" s="6">
        <f t="shared" si="1"/>
        <v>92</v>
      </c>
      <c r="AB15" s="1">
        <f t="shared" si="3"/>
        <v>3.3333333333333335</v>
      </c>
    </row>
    <row r="16" spans="2:28" ht="16.95" customHeight="1" x14ac:dyDescent="0.25">
      <c r="B16" s="3">
        <v>9</v>
      </c>
      <c r="C16" s="3" t="s">
        <v>24</v>
      </c>
      <c r="D16" s="4" t="s">
        <v>14</v>
      </c>
      <c r="E16" s="50"/>
      <c r="F16" s="15">
        <v>10</v>
      </c>
      <c r="G16" s="15">
        <v>10</v>
      </c>
      <c r="H16" s="15">
        <v>10</v>
      </c>
      <c r="I16" s="15">
        <v>10</v>
      </c>
      <c r="J16" s="52">
        <v>10</v>
      </c>
      <c r="K16" s="15">
        <v>10</v>
      </c>
      <c r="L16" s="15">
        <v>10</v>
      </c>
      <c r="M16" s="1">
        <v>10</v>
      </c>
      <c r="N16" s="15">
        <v>10</v>
      </c>
      <c r="O16" s="15">
        <v>10</v>
      </c>
      <c r="P16" s="45">
        <v>9</v>
      </c>
      <c r="Q16" s="45">
        <v>10</v>
      </c>
      <c r="R16" s="15">
        <v>9</v>
      </c>
      <c r="S16" s="15">
        <v>10</v>
      </c>
      <c r="T16" s="15">
        <v>10</v>
      </c>
      <c r="U16" s="45">
        <v>10</v>
      </c>
      <c r="V16" s="1">
        <v>10</v>
      </c>
      <c r="W16" s="15">
        <v>10</v>
      </c>
      <c r="X16" s="15">
        <v>10</v>
      </c>
      <c r="Y16" s="15">
        <v>10</v>
      </c>
      <c r="Z16" s="5">
        <f t="shared" si="2"/>
        <v>20</v>
      </c>
      <c r="AA16" s="6">
        <f t="shared" si="1"/>
        <v>198</v>
      </c>
      <c r="AB16" s="1">
        <f t="shared" si="3"/>
        <v>3.3333333333333335</v>
      </c>
    </row>
    <row r="17" spans="2:28" ht="16.95" customHeight="1" x14ac:dyDescent="0.25">
      <c r="B17" s="3">
        <v>10</v>
      </c>
      <c r="C17" s="3" t="s">
        <v>25</v>
      </c>
      <c r="D17" s="4" t="s">
        <v>14</v>
      </c>
      <c r="E17" s="50"/>
      <c r="F17" s="15">
        <v>9</v>
      </c>
      <c r="G17" s="15">
        <v>9</v>
      </c>
      <c r="H17" s="15">
        <v>9</v>
      </c>
      <c r="I17" s="15">
        <v>10</v>
      </c>
      <c r="J17" s="52">
        <v>10</v>
      </c>
      <c r="K17" s="15">
        <v>10</v>
      </c>
      <c r="L17" s="15">
        <v>10</v>
      </c>
      <c r="M17" s="15">
        <v>10</v>
      </c>
      <c r="N17" s="15">
        <v>9</v>
      </c>
      <c r="O17" s="15">
        <v>9</v>
      </c>
      <c r="P17" s="45">
        <v>11</v>
      </c>
      <c r="Q17" s="45">
        <v>11</v>
      </c>
      <c r="R17" s="15">
        <v>11</v>
      </c>
      <c r="S17" s="15">
        <v>11</v>
      </c>
      <c r="T17" s="15">
        <v>11</v>
      </c>
      <c r="U17" s="45">
        <v>11</v>
      </c>
      <c r="V17" s="15">
        <v>11</v>
      </c>
      <c r="W17" s="15">
        <v>11</v>
      </c>
      <c r="X17" s="15">
        <v>11</v>
      </c>
      <c r="Y17" s="15">
        <v>11</v>
      </c>
      <c r="Z17" s="5">
        <f t="shared" si="2"/>
        <v>20</v>
      </c>
      <c r="AA17" s="6">
        <f t="shared" si="1"/>
        <v>205</v>
      </c>
      <c r="AB17" s="1">
        <f t="shared" si="3"/>
        <v>3.3333333333333335</v>
      </c>
    </row>
    <row r="18" spans="2:28" ht="16.95" customHeight="1" x14ac:dyDescent="0.25">
      <c r="B18" s="3">
        <v>11</v>
      </c>
      <c r="C18" s="3" t="s">
        <v>26</v>
      </c>
      <c r="D18" s="4" t="s">
        <v>27</v>
      </c>
      <c r="E18" s="50"/>
      <c r="F18" s="15">
        <v>2</v>
      </c>
      <c r="G18" s="15">
        <v>2</v>
      </c>
      <c r="H18" s="15">
        <v>2</v>
      </c>
      <c r="I18" s="15">
        <v>2</v>
      </c>
      <c r="J18" s="52">
        <v>2</v>
      </c>
      <c r="K18" s="15">
        <v>3</v>
      </c>
      <c r="L18" s="15">
        <v>3</v>
      </c>
      <c r="M18" s="15">
        <v>3</v>
      </c>
      <c r="N18" s="15">
        <v>3</v>
      </c>
      <c r="O18" s="15">
        <v>3</v>
      </c>
      <c r="P18" s="45">
        <v>3</v>
      </c>
      <c r="Q18" s="45">
        <v>3</v>
      </c>
      <c r="R18" s="15">
        <v>3</v>
      </c>
      <c r="S18" s="15">
        <v>3</v>
      </c>
      <c r="T18" s="15">
        <v>3</v>
      </c>
      <c r="U18" s="45">
        <v>3</v>
      </c>
      <c r="V18" s="15">
        <v>3</v>
      </c>
      <c r="W18" s="15">
        <v>3</v>
      </c>
      <c r="X18" s="15">
        <v>3</v>
      </c>
      <c r="Y18" s="15">
        <v>3</v>
      </c>
      <c r="Z18" s="5">
        <f t="shared" si="2"/>
        <v>20</v>
      </c>
      <c r="AA18" s="6">
        <f t="shared" si="1"/>
        <v>55</v>
      </c>
      <c r="AB18" s="1">
        <f t="shared" si="3"/>
        <v>3.3333333333333335</v>
      </c>
    </row>
    <row r="19" spans="2:28" ht="16.95" customHeight="1" x14ac:dyDescent="0.25">
      <c r="B19" s="3">
        <v>12</v>
      </c>
      <c r="C19" s="3" t="s">
        <v>35</v>
      </c>
      <c r="D19" s="4" t="s">
        <v>14</v>
      </c>
      <c r="E19" s="50"/>
      <c r="F19" s="15">
        <v>9</v>
      </c>
      <c r="G19" s="15">
        <v>9</v>
      </c>
      <c r="H19" s="15">
        <v>9</v>
      </c>
      <c r="I19" s="15">
        <v>9</v>
      </c>
      <c r="J19" s="52">
        <v>9</v>
      </c>
      <c r="K19" s="15">
        <v>7</v>
      </c>
      <c r="L19" s="15">
        <v>7</v>
      </c>
      <c r="M19" s="15">
        <v>7</v>
      </c>
      <c r="N19" s="15">
        <v>8</v>
      </c>
      <c r="O19" s="15">
        <v>7</v>
      </c>
      <c r="P19" s="45">
        <v>8</v>
      </c>
      <c r="Q19" s="45">
        <v>8</v>
      </c>
      <c r="R19" s="15">
        <v>8</v>
      </c>
      <c r="S19" s="15">
        <v>8</v>
      </c>
      <c r="T19" s="15">
        <v>8</v>
      </c>
      <c r="U19" s="45">
        <v>8</v>
      </c>
      <c r="V19" s="15">
        <v>8</v>
      </c>
      <c r="W19" s="15">
        <v>8</v>
      </c>
      <c r="X19" s="15">
        <v>8</v>
      </c>
      <c r="Y19" s="15">
        <v>8</v>
      </c>
      <c r="Z19" s="5">
        <f t="shared" si="2"/>
        <v>20</v>
      </c>
      <c r="AA19" s="6">
        <f t="shared" si="1"/>
        <v>161</v>
      </c>
      <c r="AB19" s="1">
        <f>Z19*10/60</f>
        <v>3.3333333333333335</v>
      </c>
    </row>
    <row r="20" spans="2:28" s="27" customFormat="1" ht="12" customHeight="1" thickBot="1" x14ac:dyDescent="0.3">
      <c r="D20" s="28"/>
      <c r="E20" s="29">
        <f t="shared" ref="E20:X20" si="4">SUM(E8:E19)*10/60</f>
        <v>0</v>
      </c>
      <c r="F20" s="29">
        <f t="shared" si="4"/>
        <v>14.333333333333334</v>
      </c>
      <c r="G20" s="29">
        <f t="shared" si="4"/>
        <v>14.5</v>
      </c>
      <c r="H20" s="29">
        <f t="shared" si="4"/>
        <v>14.166666666666666</v>
      </c>
      <c r="I20" s="29">
        <f t="shared" si="4"/>
        <v>14.666666666666666</v>
      </c>
      <c r="J20" s="29">
        <f t="shared" si="4"/>
        <v>14</v>
      </c>
      <c r="K20" s="29">
        <f t="shared" si="4"/>
        <v>14.666666666666666</v>
      </c>
      <c r="L20" s="29">
        <f t="shared" si="4"/>
        <v>14.166666666666666</v>
      </c>
      <c r="M20" s="29">
        <f t="shared" si="4"/>
        <v>14.166666666666666</v>
      </c>
      <c r="N20" s="29">
        <f t="shared" si="4"/>
        <v>14</v>
      </c>
      <c r="O20" s="29">
        <f t="shared" si="4"/>
        <v>14</v>
      </c>
      <c r="P20" s="29">
        <f>SUM(P8:P19)*10/60</f>
        <v>14.666666666666666</v>
      </c>
      <c r="Q20" s="29">
        <f t="shared" si="4"/>
        <v>15.166666666666666</v>
      </c>
      <c r="R20" s="29">
        <f t="shared" si="4"/>
        <v>14.166666666666666</v>
      </c>
      <c r="S20" s="29">
        <f t="shared" si="4"/>
        <v>14.5</v>
      </c>
      <c r="T20" s="29">
        <f t="shared" si="4"/>
        <v>14.5</v>
      </c>
      <c r="U20" s="29">
        <f>SUM(U8:U19)*10/60</f>
        <v>14.833333333333334</v>
      </c>
      <c r="V20" s="29">
        <f>SUM(V8:V19)*10/60</f>
        <v>14.5</v>
      </c>
      <c r="W20" s="29">
        <f t="shared" si="4"/>
        <v>14.833333333333334</v>
      </c>
      <c r="X20" s="29">
        <f t="shared" si="4"/>
        <v>14</v>
      </c>
      <c r="Y20" s="29">
        <f>SUM(Y8:Y19)*10/60</f>
        <v>14.5</v>
      </c>
      <c r="Z20" s="32">
        <f>SUM(E20:V20)</f>
        <v>245</v>
      </c>
      <c r="AA20" s="30"/>
    </row>
    <row r="21" spans="2:28" ht="26.25" customHeight="1" x14ac:dyDescent="0.25">
      <c r="D21" s="7" t="s">
        <v>29</v>
      </c>
      <c r="E21" s="16">
        <f t="shared" ref="E21:X21" si="5">COUNT(E8:E19)</f>
        <v>0</v>
      </c>
      <c r="F21" s="16">
        <f t="shared" si="5"/>
        <v>12</v>
      </c>
      <c r="G21" s="16">
        <f t="shared" si="5"/>
        <v>12</v>
      </c>
      <c r="H21" s="16">
        <f t="shared" si="5"/>
        <v>12</v>
      </c>
      <c r="I21" s="16">
        <f t="shared" si="5"/>
        <v>12</v>
      </c>
      <c r="J21" s="16">
        <f t="shared" si="5"/>
        <v>12</v>
      </c>
      <c r="K21" s="16">
        <f t="shared" si="5"/>
        <v>12</v>
      </c>
      <c r="L21" s="16">
        <f t="shared" si="5"/>
        <v>12</v>
      </c>
      <c r="M21" s="16">
        <f t="shared" si="5"/>
        <v>12</v>
      </c>
      <c r="N21" s="16">
        <f t="shared" si="5"/>
        <v>12</v>
      </c>
      <c r="O21" s="16">
        <f t="shared" si="5"/>
        <v>12</v>
      </c>
      <c r="P21" s="16">
        <f>COUNT(P8:P19)</f>
        <v>12</v>
      </c>
      <c r="Q21" s="16">
        <f t="shared" si="5"/>
        <v>12</v>
      </c>
      <c r="R21" s="16">
        <f t="shared" si="5"/>
        <v>12</v>
      </c>
      <c r="S21" s="16">
        <f t="shared" si="5"/>
        <v>12</v>
      </c>
      <c r="T21" s="16">
        <f t="shared" si="5"/>
        <v>12</v>
      </c>
      <c r="U21" s="16">
        <f>COUNT(U8:U19)</f>
        <v>12</v>
      </c>
      <c r="V21" s="16">
        <f>COUNT(V8:V19)</f>
        <v>12</v>
      </c>
      <c r="W21" s="16">
        <f t="shared" si="5"/>
        <v>12</v>
      </c>
      <c r="X21" s="16">
        <f t="shared" si="5"/>
        <v>12</v>
      </c>
      <c r="Y21" s="16">
        <f>COUNT(Y8:Y19)</f>
        <v>12</v>
      </c>
      <c r="Z21" s="24" t="s">
        <v>30</v>
      </c>
      <c r="AA21" s="8" t="s">
        <v>30</v>
      </c>
    </row>
    <row r="22" spans="2:28" ht="28.5" customHeight="1" x14ac:dyDescent="0.25">
      <c r="D22" s="9" t="s">
        <v>31</v>
      </c>
      <c r="E22" s="17">
        <f t="shared" ref="E22:X22" si="6">COUNT(E8:E19)</f>
        <v>0</v>
      </c>
      <c r="F22" s="17">
        <f t="shared" si="6"/>
        <v>12</v>
      </c>
      <c r="G22" s="17">
        <f t="shared" si="6"/>
        <v>12</v>
      </c>
      <c r="H22" s="17">
        <f t="shared" si="6"/>
        <v>12</v>
      </c>
      <c r="I22" s="17">
        <f t="shared" si="6"/>
        <v>12</v>
      </c>
      <c r="J22" s="17">
        <f t="shared" si="6"/>
        <v>12</v>
      </c>
      <c r="K22" s="17">
        <f t="shared" si="6"/>
        <v>12</v>
      </c>
      <c r="L22" s="17">
        <f t="shared" si="6"/>
        <v>12</v>
      </c>
      <c r="M22" s="17">
        <f t="shared" si="6"/>
        <v>12</v>
      </c>
      <c r="N22" s="17">
        <f t="shared" si="6"/>
        <v>12</v>
      </c>
      <c r="O22" s="17">
        <f t="shared" si="6"/>
        <v>12</v>
      </c>
      <c r="P22" s="17">
        <f>COUNT(P8:P19)</f>
        <v>12</v>
      </c>
      <c r="Q22" s="17">
        <f t="shared" si="6"/>
        <v>12</v>
      </c>
      <c r="R22" s="17">
        <f t="shared" si="6"/>
        <v>12</v>
      </c>
      <c r="S22" s="17">
        <f t="shared" si="6"/>
        <v>12</v>
      </c>
      <c r="T22" s="17">
        <f t="shared" si="6"/>
        <v>12</v>
      </c>
      <c r="U22" s="17">
        <f>COUNT(U8:U19)</f>
        <v>12</v>
      </c>
      <c r="V22" s="17">
        <f>COUNT(V8:V19)</f>
        <v>12</v>
      </c>
      <c r="W22" s="17">
        <f t="shared" si="6"/>
        <v>12</v>
      </c>
      <c r="X22" s="17">
        <f t="shared" si="6"/>
        <v>12</v>
      </c>
      <c r="Y22" s="17">
        <f>COUNT(Y8:Y19)</f>
        <v>12</v>
      </c>
      <c r="Z22" s="25" t="s">
        <v>30</v>
      </c>
      <c r="AA22" s="10">
        <f>SUM(E22:Y22)</f>
        <v>240</v>
      </c>
    </row>
    <row r="23" spans="2:28" ht="23.25" customHeight="1" x14ac:dyDescent="0.25">
      <c r="D23" s="9" t="s">
        <v>32</v>
      </c>
      <c r="E23" s="18">
        <f t="shared" ref="E23:X23" si="7">SUM(E8:E19)</f>
        <v>0</v>
      </c>
      <c r="F23" s="18">
        <f t="shared" si="7"/>
        <v>86</v>
      </c>
      <c r="G23" s="18">
        <f t="shared" si="7"/>
        <v>87</v>
      </c>
      <c r="H23" s="18">
        <f t="shared" si="7"/>
        <v>85</v>
      </c>
      <c r="I23" s="18">
        <f t="shared" si="7"/>
        <v>88</v>
      </c>
      <c r="J23" s="18">
        <f t="shared" si="7"/>
        <v>84</v>
      </c>
      <c r="K23" s="18">
        <f t="shared" si="7"/>
        <v>88</v>
      </c>
      <c r="L23" s="18">
        <f t="shared" si="7"/>
        <v>85</v>
      </c>
      <c r="M23" s="18">
        <f t="shared" si="7"/>
        <v>85</v>
      </c>
      <c r="N23" s="18">
        <f t="shared" si="7"/>
        <v>84</v>
      </c>
      <c r="O23" s="18">
        <f t="shared" si="7"/>
        <v>84</v>
      </c>
      <c r="P23" s="18">
        <f>SUM(P8:P19)</f>
        <v>88</v>
      </c>
      <c r="Q23" s="18">
        <f t="shared" si="7"/>
        <v>91</v>
      </c>
      <c r="R23" s="18">
        <f t="shared" si="7"/>
        <v>85</v>
      </c>
      <c r="S23" s="18">
        <f t="shared" si="7"/>
        <v>87</v>
      </c>
      <c r="T23" s="18">
        <f t="shared" si="7"/>
        <v>87</v>
      </c>
      <c r="U23" s="18">
        <f>SUM(U8:U19)</f>
        <v>89</v>
      </c>
      <c r="V23" s="18">
        <f>SUM(V8:V19)</f>
        <v>87</v>
      </c>
      <c r="W23" s="18">
        <f t="shared" si="7"/>
        <v>89</v>
      </c>
      <c r="X23" s="18">
        <f t="shared" si="7"/>
        <v>84</v>
      </c>
      <c r="Y23" s="18">
        <f>SUM(Y8:Y19)</f>
        <v>87</v>
      </c>
      <c r="Z23" s="25" t="s">
        <v>30</v>
      </c>
      <c r="AA23" s="11">
        <f>SUM(E23:Y23)</f>
        <v>1730</v>
      </c>
    </row>
    <row r="24" spans="2:28" ht="23.25" customHeight="1" thickBot="1" x14ac:dyDescent="0.3">
      <c r="D24" s="12" t="s">
        <v>33</v>
      </c>
      <c r="E24" s="19">
        <f t="shared" ref="E24:Y24" si="8">E22*10/60</f>
        <v>0</v>
      </c>
      <c r="F24" s="19">
        <f t="shared" si="8"/>
        <v>2</v>
      </c>
      <c r="G24" s="19">
        <f t="shared" si="8"/>
        <v>2</v>
      </c>
      <c r="H24" s="19">
        <f t="shared" si="8"/>
        <v>2</v>
      </c>
      <c r="I24" s="19">
        <f t="shared" si="8"/>
        <v>2</v>
      </c>
      <c r="J24" s="19">
        <f t="shared" si="8"/>
        <v>2</v>
      </c>
      <c r="K24" s="19">
        <f t="shared" si="8"/>
        <v>2</v>
      </c>
      <c r="L24" s="19">
        <f t="shared" si="8"/>
        <v>2</v>
      </c>
      <c r="M24" s="19">
        <f t="shared" si="8"/>
        <v>2</v>
      </c>
      <c r="N24" s="19">
        <f t="shared" si="8"/>
        <v>2</v>
      </c>
      <c r="O24" s="19">
        <f t="shared" si="8"/>
        <v>2</v>
      </c>
      <c r="P24" s="19">
        <f t="shared" si="8"/>
        <v>2</v>
      </c>
      <c r="Q24" s="19">
        <f t="shared" si="8"/>
        <v>2</v>
      </c>
      <c r="R24" s="19">
        <f t="shared" si="8"/>
        <v>2</v>
      </c>
      <c r="S24" s="19">
        <f t="shared" si="8"/>
        <v>2</v>
      </c>
      <c r="T24" s="19">
        <f t="shared" si="8"/>
        <v>2</v>
      </c>
      <c r="U24" s="19">
        <f t="shared" si="8"/>
        <v>2</v>
      </c>
      <c r="V24" s="19">
        <f t="shared" si="8"/>
        <v>2</v>
      </c>
      <c r="W24" s="19">
        <f t="shared" si="8"/>
        <v>2</v>
      </c>
      <c r="X24" s="19">
        <f t="shared" si="8"/>
        <v>2</v>
      </c>
      <c r="Y24" s="19">
        <f t="shared" si="8"/>
        <v>2</v>
      </c>
      <c r="Z24" s="26"/>
      <c r="AA24" s="13">
        <f>SUM(E24:Y24)</f>
        <v>40</v>
      </c>
    </row>
  </sheetData>
  <mergeCells count="6">
    <mergeCell ref="B2:C6"/>
    <mergeCell ref="D2:AA2"/>
    <mergeCell ref="D4:AA4"/>
    <mergeCell ref="D5:D6"/>
    <mergeCell ref="Z5:Z7"/>
    <mergeCell ref="AA5:AA7"/>
  </mergeCells>
  <pageMargins left="0.7" right="0.7" top="0.75" bottom="0.75" header="0.3" footer="0.3"/>
  <pageSetup scale="58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1B6A-60AC-460F-98E6-565A333461BA}">
  <sheetPr>
    <pageSetUpPr fitToPage="1"/>
  </sheetPr>
  <dimension ref="B1:AF24"/>
  <sheetViews>
    <sheetView showGridLines="0" topLeftCell="J1" zoomScale="96" zoomScaleNormal="96" workbookViewId="0">
      <pane ySplit="7" topLeftCell="A8" activePane="bottomLeft" state="frozen"/>
      <selection activeCell="T26" sqref="T26"/>
      <selection pane="bottomLeft" activeCell="T26" sqref="T26"/>
    </sheetView>
  </sheetViews>
  <sheetFormatPr defaultColWidth="15" defaultRowHeight="18.75" customHeight="1" x14ac:dyDescent="0.25"/>
  <cols>
    <col min="1" max="1" width="1" style="1" customWidth="1"/>
    <col min="2" max="2" width="5.109375" style="1" customWidth="1"/>
    <col min="3" max="3" width="23.44140625" style="1" customWidth="1"/>
    <col min="4" max="4" width="28.77734375" style="1" customWidth="1"/>
    <col min="5" max="11" width="15.6640625" style="1" bestFit="1" customWidth="1"/>
    <col min="12" max="13" width="15.6640625" style="1" customWidth="1"/>
    <col min="14" max="21" width="15.6640625" style="1" bestFit="1" customWidth="1"/>
    <col min="22" max="29" width="15.6640625" style="1" customWidth="1"/>
    <col min="30" max="30" width="13.77734375" style="2" customWidth="1"/>
    <col min="31" max="31" width="6.77734375" style="1" customWidth="1"/>
    <col min="32" max="32" width="6.109375" style="1" customWidth="1"/>
    <col min="33" max="33" width="4.77734375" style="1" customWidth="1"/>
    <col min="34" max="34" width="3.77734375" style="1" customWidth="1"/>
    <col min="35" max="35" width="5.77734375" style="1" customWidth="1"/>
    <col min="36" max="36" width="8.109375" style="1" customWidth="1"/>
    <col min="37" max="37" width="7" style="1" customWidth="1"/>
    <col min="38" max="16384" width="15" style="1"/>
  </cols>
  <sheetData>
    <row r="1" spans="2:32" ht="4.5" customHeight="1" x14ac:dyDescent="0.25"/>
    <row r="2" spans="2:32" s="42" customFormat="1" ht="16.2" customHeight="1" x14ac:dyDescent="0.25">
      <c r="B2" s="59"/>
      <c r="C2" s="59"/>
      <c r="D2" s="60" t="s">
        <v>34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2"/>
    </row>
    <row r="3" spans="2:32" s="41" customFormat="1" ht="15.6" customHeight="1" x14ac:dyDescent="0.25">
      <c r="B3" s="59"/>
      <c r="C3" s="59"/>
      <c r="D3" s="37"/>
      <c r="E3" s="44" t="str">
        <f>"SEMANA 01: " &amp; SUM(E8:I19)</f>
        <v>SEMANA 01: 340</v>
      </c>
      <c r="F3" s="38"/>
      <c r="G3" s="38"/>
      <c r="H3" s="38"/>
      <c r="I3" s="43"/>
      <c r="J3" s="44" t="str">
        <f>"SEMANA 02: " &amp; SUM(J8:N19)</f>
        <v>SEMANA 02: 425</v>
      </c>
      <c r="K3" s="38"/>
      <c r="L3" s="38"/>
      <c r="M3" s="38"/>
      <c r="N3" s="43"/>
      <c r="Q3" s="44" t="str">
        <f>"SEMANA 03: "&amp;SUM(O8:S19)</f>
        <v>SEMANA 03: 405</v>
      </c>
      <c r="R3" s="39"/>
      <c r="S3" s="40"/>
      <c r="T3" s="55"/>
      <c r="V3" s="44" t="str">
        <f>"SEMANA 04: "&amp;SUM(T8:X19)</f>
        <v>SEMANA 04: 318</v>
      </c>
      <c r="W3" s="39"/>
      <c r="X3" s="43"/>
      <c r="AA3" s="44" t="str">
        <f>"SEMANA 05: "&amp;SUM(Y8:AC19)</f>
        <v>SEMANA 05: 406</v>
      </c>
      <c r="AB3" s="38"/>
      <c r="AC3" s="38"/>
      <c r="AD3" s="39"/>
      <c r="AE3" s="40"/>
    </row>
    <row r="4" spans="2:32" ht="11.25" customHeight="1" x14ac:dyDescent="0.25">
      <c r="B4" s="59"/>
      <c r="C4" s="59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5"/>
    </row>
    <row r="5" spans="2:32" ht="12.75" customHeight="1" x14ac:dyDescent="0.25">
      <c r="B5" s="59"/>
      <c r="C5" s="59"/>
      <c r="D5" s="66" t="s">
        <v>2</v>
      </c>
      <c r="E5" s="23">
        <v>46174</v>
      </c>
      <c r="F5" s="23">
        <v>46175</v>
      </c>
      <c r="G5" s="23">
        <v>46176</v>
      </c>
      <c r="H5" s="23">
        <v>46177</v>
      </c>
      <c r="I5" s="23">
        <v>46178</v>
      </c>
      <c r="J5" s="23">
        <v>46181</v>
      </c>
      <c r="K5" s="23">
        <v>46182</v>
      </c>
      <c r="L5" s="23">
        <v>46183</v>
      </c>
      <c r="M5" s="23">
        <v>46184</v>
      </c>
      <c r="N5" s="23">
        <v>46185</v>
      </c>
      <c r="O5" s="23">
        <v>46188</v>
      </c>
      <c r="P5" s="23">
        <v>46189</v>
      </c>
      <c r="Q5" s="23">
        <v>46190</v>
      </c>
      <c r="R5" s="23">
        <v>46191</v>
      </c>
      <c r="S5" s="23">
        <v>46192</v>
      </c>
      <c r="T5" s="23">
        <v>46195</v>
      </c>
      <c r="U5" s="23">
        <v>46196</v>
      </c>
      <c r="V5" s="23">
        <v>46197</v>
      </c>
      <c r="W5" s="23">
        <v>46198</v>
      </c>
      <c r="X5" s="23">
        <v>46199</v>
      </c>
      <c r="Y5" s="23">
        <v>46202</v>
      </c>
      <c r="Z5" s="23">
        <v>46203</v>
      </c>
      <c r="AA5" s="23">
        <v>46204</v>
      </c>
      <c r="AB5" s="23">
        <v>46205</v>
      </c>
      <c r="AC5" s="23">
        <v>46206</v>
      </c>
      <c r="AD5" s="67" t="s">
        <v>3</v>
      </c>
      <c r="AE5" s="70" t="s">
        <v>4</v>
      </c>
    </row>
    <row r="6" spans="2:32" ht="15" customHeight="1" x14ac:dyDescent="0.25">
      <c r="B6" s="59"/>
      <c r="C6" s="59"/>
      <c r="D6" s="66"/>
      <c r="E6" s="14">
        <f t="shared" ref="E6:AB6" si="0">E5</f>
        <v>46174</v>
      </c>
      <c r="F6" s="14">
        <f t="shared" si="0"/>
        <v>46175</v>
      </c>
      <c r="G6" s="14">
        <f t="shared" si="0"/>
        <v>46176</v>
      </c>
      <c r="H6" s="14">
        <f t="shared" si="0"/>
        <v>46177</v>
      </c>
      <c r="I6" s="14">
        <f t="shared" si="0"/>
        <v>46178</v>
      </c>
      <c r="J6" s="14">
        <f t="shared" si="0"/>
        <v>46181</v>
      </c>
      <c r="K6" s="14">
        <f t="shared" si="0"/>
        <v>46182</v>
      </c>
      <c r="L6" s="14">
        <f t="shared" si="0"/>
        <v>46183</v>
      </c>
      <c r="M6" s="14">
        <f t="shared" si="0"/>
        <v>46184</v>
      </c>
      <c r="N6" s="14">
        <f t="shared" si="0"/>
        <v>46185</v>
      </c>
      <c r="O6" s="14">
        <f t="shared" si="0"/>
        <v>46188</v>
      </c>
      <c r="P6" s="14">
        <f t="shared" si="0"/>
        <v>46189</v>
      </c>
      <c r="Q6" s="14">
        <f t="shared" si="0"/>
        <v>46190</v>
      </c>
      <c r="R6" s="14">
        <f t="shared" si="0"/>
        <v>46191</v>
      </c>
      <c r="S6" s="14">
        <f t="shared" si="0"/>
        <v>46192</v>
      </c>
      <c r="T6" s="14">
        <f t="shared" si="0"/>
        <v>46195</v>
      </c>
      <c r="U6" s="14">
        <f t="shared" si="0"/>
        <v>46196</v>
      </c>
      <c r="V6" s="14">
        <f t="shared" si="0"/>
        <v>46197</v>
      </c>
      <c r="W6" s="14">
        <f t="shared" si="0"/>
        <v>46198</v>
      </c>
      <c r="X6" s="14">
        <f t="shared" si="0"/>
        <v>46199</v>
      </c>
      <c r="Y6" s="14">
        <f t="shared" si="0"/>
        <v>46202</v>
      </c>
      <c r="Z6" s="14">
        <f t="shared" si="0"/>
        <v>46203</v>
      </c>
      <c r="AA6" s="14">
        <f t="shared" si="0"/>
        <v>46204</v>
      </c>
      <c r="AB6" s="14">
        <f t="shared" si="0"/>
        <v>46205</v>
      </c>
      <c r="AC6" s="14">
        <f>AC5</f>
        <v>46206</v>
      </c>
      <c r="AD6" s="68"/>
      <c r="AE6" s="71"/>
    </row>
    <row r="7" spans="2:32" ht="14.25" customHeight="1" x14ac:dyDescent="0.25">
      <c r="B7" s="20" t="s">
        <v>5</v>
      </c>
      <c r="C7" s="20" t="s">
        <v>6</v>
      </c>
      <c r="D7" s="20" t="s">
        <v>7</v>
      </c>
      <c r="E7" s="21" t="s">
        <v>8</v>
      </c>
      <c r="F7" s="21" t="s">
        <v>8</v>
      </c>
      <c r="G7" s="21" t="s">
        <v>8</v>
      </c>
      <c r="H7" s="21" t="s">
        <v>8</v>
      </c>
      <c r="I7" s="21" t="s">
        <v>8</v>
      </c>
      <c r="J7" s="21" t="s">
        <v>8</v>
      </c>
      <c r="K7" s="21" t="s">
        <v>8</v>
      </c>
      <c r="L7" s="21" t="s">
        <v>8</v>
      </c>
      <c r="M7" s="21" t="s">
        <v>8</v>
      </c>
      <c r="N7" s="21" t="s">
        <v>8</v>
      </c>
      <c r="O7" s="21" t="s">
        <v>8</v>
      </c>
      <c r="P7" s="21" t="s">
        <v>8</v>
      </c>
      <c r="Q7" s="21" t="s">
        <v>8</v>
      </c>
      <c r="R7" s="21" t="s">
        <v>8</v>
      </c>
      <c r="S7" s="21" t="s">
        <v>8</v>
      </c>
      <c r="T7" s="21" t="s">
        <v>8</v>
      </c>
      <c r="U7" s="21" t="s">
        <v>8</v>
      </c>
      <c r="V7" s="21" t="s">
        <v>8</v>
      </c>
      <c r="W7" s="21" t="s">
        <v>8</v>
      </c>
      <c r="X7" s="21" t="s">
        <v>8</v>
      </c>
      <c r="Y7" s="21" t="s">
        <v>8</v>
      </c>
      <c r="Z7" s="21" t="s">
        <v>8</v>
      </c>
      <c r="AA7" s="21" t="s">
        <v>8</v>
      </c>
      <c r="AB7" s="21" t="s">
        <v>8</v>
      </c>
      <c r="AC7" s="21" t="s">
        <v>8</v>
      </c>
      <c r="AD7" s="69"/>
      <c r="AE7" s="72"/>
    </row>
    <row r="8" spans="2:32" ht="16.95" customHeight="1" x14ac:dyDescent="0.25">
      <c r="B8" s="3">
        <v>1</v>
      </c>
      <c r="C8" s="3" t="s">
        <v>9</v>
      </c>
      <c r="D8" s="4" t="s">
        <v>10</v>
      </c>
      <c r="E8" s="45">
        <v>2</v>
      </c>
      <c r="F8" s="15">
        <v>2</v>
      </c>
      <c r="G8" s="15">
        <v>2</v>
      </c>
      <c r="H8" s="15">
        <v>2</v>
      </c>
      <c r="I8" s="57"/>
      <c r="J8" s="15">
        <v>2</v>
      </c>
      <c r="K8" s="15">
        <v>2</v>
      </c>
      <c r="L8" s="15">
        <v>2</v>
      </c>
      <c r="M8" s="15">
        <v>2</v>
      </c>
      <c r="N8" s="15">
        <v>2</v>
      </c>
      <c r="O8" s="45">
        <v>2</v>
      </c>
      <c r="P8" s="45">
        <v>2</v>
      </c>
      <c r="Q8" s="15">
        <v>2</v>
      </c>
      <c r="R8" s="15">
        <v>2</v>
      </c>
      <c r="S8" s="15">
        <v>2</v>
      </c>
      <c r="T8" s="45">
        <v>2</v>
      </c>
      <c r="U8" s="15">
        <v>2</v>
      </c>
      <c r="V8" s="50"/>
      <c r="W8" s="15">
        <v>2</v>
      </c>
      <c r="X8" s="15">
        <v>2</v>
      </c>
      <c r="Y8" s="15">
        <v>2</v>
      </c>
      <c r="Z8" s="15">
        <v>2</v>
      </c>
      <c r="AA8" s="15">
        <v>2</v>
      </c>
      <c r="AB8" s="15">
        <v>2</v>
      </c>
      <c r="AC8" s="15">
        <v>2</v>
      </c>
      <c r="AD8" s="5">
        <f>COUNTA(E8:AC8)</f>
        <v>23</v>
      </c>
      <c r="AE8" s="6">
        <f t="shared" ref="AE8:AE19" si="1">SUM(E8:AC8)</f>
        <v>46</v>
      </c>
      <c r="AF8" s="1">
        <f>AD8*10/60</f>
        <v>3.8333333333333335</v>
      </c>
    </row>
    <row r="9" spans="2:32" ht="16.95" customHeight="1" x14ac:dyDescent="0.25">
      <c r="B9" s="3">
        <v>2</v>
      </c>
      <c r="C9" s="3" t="s">
        <v>11</v>
      </c>
      <c r="D9" s="4" t="s">
        <v>12</v>
      </c>
      <c r="E9" s="45">
        <v>5</v>
      </c>
      <c r="F9" s="15">
        <v>7</v>
      </c>
      <c r="G9" s="15">
        <v>5</v>
      </c>
      <c r="H9" s="15">
        <v>7</v>
      </c>
      <c r="I9" s="57"/>
      <c r="J9" s="15">
        <v>7</v>
      </c>
      <c r="K9" s="15">
        <v>5</v>
      </c>
      <c r="L9" s="15">
        <v>7</v>
      </c>
      <c r="M9" s="15">
        <v>5</v>
      </c>
      <c r="N9" s="15">
        <v>7</v>
      </c>
      <c r="O9" s="45">
        <v>5</v>
      </c>
      <c r="P9" s="45">
        <v>7</v>
      </c>
      <c r="Q9" s="15">
        <v>5</v>
      </c>
      <c r="R9" s="15">
        <v>7</v>
      </c>
      <c r="S9" s="15">
        <v>5</v>
      </c>
      <c r="T9" s="45">
        <v>5</v>
      </c>
      <c r="U9" s="15">
        <v>7</v>
      </c>
      <c r="V9" s="58"/>
      <c r="W9" s="15">
        <v>7</v>
      </c>
      <c r="X9" s="54">
        <v>5</v>
      </c>
      <c r="Y9" s="15">
        <v>7</v>
      </c>
      <c r="Z9" s="54">
        <v>5</v>
      </c>
      <c r="AA9" s="15">
        <v>7</v>
      </c>
      <c r="AB9" s="15">
        <v>5</v>
      </c>
      <c r="AC9" s="15">
        <v>7</v>
      </c>
      <c r="AD9" s="5">
        <f t="shared" ref="AD9" si="2">COUNTA(E9:Y9)</f>
        <v>19</v>
      </c>
      <c r="AE9" s="6">
        <f t="shared" si="1"/>
        <v>139</v>
      </c>
      <c r="AF9" s="1">
        <f t="shared" ref="AF9:AF18" si="3">AD9*10/60</f>
        <v>3.1666666666666665</v>
      </c>
    </row>
    <row r="10" spans="2:32" ht="16.95" customHeight="1" x14ac:dyDescent="0.25">
      <c r="B10" s="3">
        <v>3</v>
      </c>
      <c r="C10" s="3" t="s">
        <v>13</v>
      </c>
      <c r="D10" s="4" t="s">
        <v>14</v>
      </c>
      <c r="E10" s="45">
        <v>12</v>
      </c>
      <c r="F10" s="15">
        <v>12</v>
      </c>
      <c r="G10" s="15">
        <v>12</v>
      </c>
      <c r="H10" s="15">
        <v>12</v>
      </c>
      <c r="I10" s="57"/>
      <c r="J10" s="15">
        <v>12</v>
      </c>
      <c r="K10" s="15">
        <v>12</v>
      </c>
      <c r="L10" s="15">
        <v>12</v>
      </c>
      <c r="M10" s="15">
        <v>12</v>
      </c>
      <c r="N10" s="15">
        <v>12</v>
      </c>
      <c r="O10" s="45">
        <v>11</v>
      </c>
      <c r="P10" s="45">
        <v>11</v>
      </c>
      <c r="Q10" s="15">
        <v>11</v>
      </c>
      <c r="R10" s="15">
        <v>11</v>
      </c>
      <c r="S10" s="15">
        <v>11</v>
      </c>
      <c r="T10" s="45">
        <v>11</v>
      </c>
      <c r="U10" s="1">
        <v>11</v>
      </c>
      <c r="V10" s="50"/>
      <c r="W10" s="15">
        <v>11</v>
      </c>
      <c r="X10" s="15">
        <v>11</v>
      </c>
      <c r="Y10" s="15">
        <v>12</v>
      </c>
      <c r="Z10" s="15">
        <v>12</v>
      </c>
      <c r="AA10" s="15">
        <v>12</v>
      </c>
      <c r="AB10" s="15">
        <v>12</v>
      </c>
      <c r="AC10" s="15">
        <v>12</v>
      </c>
      <c r="AD10" s="5">
        <f t="shared" ref="AD10:AD15" si="4">COUNTA(E10:AC10)</f>
        <v>23</v>
      </c>
      <c r="AE10" s="6">
        <f t="shared" si="1"/>
        <v>267</v>
      </c>
      <c r="AF10" s="1">
        <f t="shared" si="3"/>
        <v>3.8333333333333335</v>
      </c>
    </row>
    <row r="11" spans="2:32" ht="16.95" customHeight="1" x14ac:dyDescent="0.25">
      <c r="B11" s="3">
        <v>4</v>
      </c>
      <c r="C11" s="3" t="s">
        <v>15</v>
      </c>
      <c r="D11" s="4" t="s">
        <v>16</v>
      </c>
      <c r="E11" s="45">
        <v>6</v>
      </c>
      <c r="F11" s="15">
        <v>6</v>
      </c>
      <c r="G11" s="15">
        <v>6</v>
      </c>
      <c r="H11" s="15">
        <v>6</v>
      </c>
      <c r="I11" s="57"/>
      <c r="J11" s="15">
        <v>6</v>
      </c>
      <c r="K11" s="15">
        <v>6</v>
      </c>
      <c r="L11" s="15">
        <v>6</v>
      </c>
      <c r="M11" s="15">
        <v>6</v>
      </c>
      <c r="N11" s="15">
        <v>6</v>
      </c>
      <c r="O11" s="45">
        <v>6</v>
      </c>
      <c r="P11" s="45">
        <v>6</v>
      </c>
      <c r="Q11" s="15">
        <v>6</v>
      </c>
      <c r="R11" s="1">
        <v>6</v>
      </c>
      <c r="S11" s="15">
        <v>6</v>
      </c>
      <c r="T11" s="45">
        <v>6</v>
      </c>
      <c r="U11" s="15">
        <v>6</v>
      </c>
      <c r="V11" s="50"/>
      <c r="W11" s="15">
        <v>6</v>
      </c>
      <c r="X11" s="15">
        <v>6</v>
      </c>
      <c r="Y11" s="15">
        <v>6</v>
      </c>
      <c r="Z11" s="15">
        <v>6</v>
      </c>
      <c r="AA11" s="15">
        <v>6</v>
      </c>
      <c r="AB11" s="15">
        <v>6</v>
      </c>
      <c r="AC11" s="15">
        <v>6</v>
      </c>
      <c r="AD11" s="5">
        <f t="shared" si="4"/>
        <v>23</v>
      </c>
      <c r="AE11" s="6">
        <f t="shared" si="1"/>
        <v>138</v>
      </c>
      <c r="AF11" s="1">
        <f t="shared" si="3"/>
        <v>3.8333333333333335</v>
      </c>
    </row>
    <row r="12" spans="2:32" ht="16.95" customHeight="1" x14ac:dyDescent="0.25">
      <c r="B12" s="3">
        <v>5</v>
      </c>
      <c r="C12" s="3" t="s">
        <v>17</v>
      </c>
      <c r="D12" s="4" t="s">
        <v>18</v>
      </c>
      <c r="E12" s="45">
        <v>6</v>
      </c>
      <c r="F12" s="15">
        <v>5</v>
      </c>
      <c r="G12" s="15">
        <v>5</v>
      </c>
      <c r="H12" s="15">
        <v>5</v>
      </c>
      <c r="I12" s="57"/>
      <c r="J12" s="15">
        <v>5</v>
      </c>
      <c r="K12" s="15">
        <v>5</v>
      </c>
      <c r="L12" s="15">
        <v>5</v>
      </c>
      <c r="M12" s="15">
        <v>5</v>
      </c>
      <c r="N12" s="15">
        <v>5</v>
      </c>
      <c r="O12" s="45">
        <v>5</v>
      </c>
      <c r="P12" s="45">
        <v>5</v>
      </c>
      <c r="Q12" s="15">
        <v>5</v>
      </c>
      <c r="R12" s="15">
        <v>5</v>
      </c>
      <c r="S12" s="1">
        <v>5</v>
      </c>
      <c r="T12" s="45">
        <v>5</v>
      </c>
      <c r="U12" s="15">
        <v>5</v>
      </c>
      <c r="V12" s="50"/>
      <c r="W12" s="15">
        <v>5</v>
      </c>
      <c r="X12" s="54">
        <v>5</v>
      </c>
      <c r="Y12" s="15">
        <v>5</v>
      </c>
      <c r="Z12" s="54">
        <v>5</v>
      </c>
      <c r="AA12" s="15">
        <v>5</v>
      </c>
      <c r="AB12" s="15">
        <v>4</v>
      </c>
      <c r="AC12" s="15">
        <v>4</v>
      </c>
      <c r="AD12" s="5">
        <f t="shared" si="4"/>
        <v>23</v>
      </c>
      <c r="AE12" s="6">
        <f t="shared" si="1"/>
        <v>114</v>
      </c>
      <c r="AF12" s="1">
        <f t="shared" si="3"/>
        <v>3.8333333333333335</v>
      </c>
    </row>
    <row r="13" spans="2:32" s="49" customFormat="1" ht="16.95" customHeight="1" x14ac:dyDescent="0.25">
      <c r="B13" s="46">
        <v>6</v>
      </c>
      <c r="C13" s="46" t="s">
        <v>19</v>
      </c>
      <c r="D13" s="47" t="s">
        <v>14</v>
      </c>
      <c r="E13" s="45">
        <v>10</v>
      </c>
      <c r="F13" s="15">
        <v>10</v>
      </c>
      <c r="G13" s="15">
        <v>10</v>
      </c>
      <c r="H13" s="15">
        <v>10</v>
      </c>
      <c r="I13" s="57"/>
      <c r="J13" s="15">
        <v>10</v>
      </c>
      <c r="K13" s="15">
        <v>10</v>
      </c>
      <c r="L13" s="15">
        <v>10</v>
      </c>
      <c r="M13" s="15">
        <v>9</v>
      </c>
      <c r="N13" s="15">
        <v>10</v>
      </c>
      <c r="O13" s="45">
        <v>10</v>
      </c>
      <c r="P13" s="45">
        <v>10</v>
      </c>
      <c r="Q13" s="15">
        <v>10</v>
      </c>
      <c r="R13" s="15">
        <v>9</v>
      </c>
      <c r="S13" s="15">
        <v>8</v>
      </c>
      <c r="T13" s="45">
        <v>9</v>
      </c>
      <c r="U13" s="15">
        <v>9</v>
      </c>
      <c r="V13" s="50"/>
      <c r="W13" s="15">
        <v>9</v>
      </c>
      <c r="X13" s="15">
        <v>9</v>
      </c>
      <c r="Y13" s="15">
        <v>9</v>
      </c>
      <c r="Z13" s="15">
        <v>9</v>
      </c>
      <c r="AA13" s="15">
        <v>9</v>
      </c>
      <c r="AB13" s="15">
        <v>9</v>
      </c>
      <c r="AC13" s="15">
        <v>9</v>
      </c>
      <c r="AD13" s="5">
        <f t="shared" si="4"/>
        <v>23</v>
      </c>
      <c r="AE13" s="6">
        <f t="shared" si="1"/>
        <v>217</v>
      </c>
      <c r="AF13" s="1">
        <f t="shared" si="3"/>
        <v>3.8333333333333335</v>
      </c>
    </row>
    <row r="14" spans="2:32" ht="16.95" customHeight="1" x14ac:dyDescent="0.25">
      <c r="B14" s="3">
        <v>7</v>
      </c>
      <c r="C14" s="3" t="s">
        <v>20</v>
      </c>
      <c r="D14" s="4" t="s">
        <v>21</v>
      </c>
      <c r="E14" s="45">
        <v>8</v>
      </c>
      <c r="F14" s="15">
        <v>8</v>
      </c>
      <c r="G14" s="15">
        <v>8</v>
      </c>
      <c r="H14" s="15">
        <v>9</v>
      </c>
      <c r="I14" s="57"/>
      <c r="J14" s="15">
        <v>9</v>
      </c>
      <c r="K14" s="15">
        <v>9</v>
      </c>
      <c r="L14" s="15">
        <v>9</v>
      </c>
      <c r="M14" s="15">
        <v>8</v>
      </c>
      <c r="N14" s="15">
        <v>8</v>
      </c>
      <c r="O14" s="45">
        <v>9</v>
      </c>
      <c r="P14" s="45">
        <v>9</v>
      </c>
      <c r="Q14" s="15">
        <v>9</v>
      </c>
      <c r="R14" s="15">
        <v>9</v>
      </c>
      <c r="S14" s="15">
        <v>9</v>
      </c>
      <c r="T14" s="45">
        <v>9</v>
      </c>
      <c r="U14" s="15">
        <v>9</v>
      </c>
      <c r="V14" s="50"/>
      <c r="W14" s="15">
        <v>9</v>
      </c>
      <c r="X14" s="15">
        <v>9</v>
      </c>
      <c r="Y14" s="15">
        <v>8</v>
      </c>
      <c r="Z14" s="15">
        <v>9</v>
      </c>
      <c r="AA14" s="15">
        <v>9</v>
      </c>
      <c r="AB14" s="15">
        <v>9</v>
      </c>
      <c r="AC14" s="15">
        <v>9</v>
      </c>
      <c r="AD14" s="5">
        <f t="shared" si="4"/>
        <v>23</v>
      </c>
      <c r="AE14" s="6">
        <f t="shared" si="1"/>
        <v>201</v>
      </c>
      <c r="AF14" s="1">
        <f t="shared" si="3"/>
        <v>3.8333333333333335</v>
      </c>
    </row>
    <row r="15" spans="2:32" ht="16.95" customHeight="1" x14ac:dyDescent="0.25">
      <c r="B15" s="3">
        <v>8</v>
      </c>
      <c r="C15" s="3" t="s">
        <v>22</v>
      </c>
      <c r="D15" s="4" t="s">
        <v>23</v>
      </c>
      <c r="E15" s="45">
        <v>4</v>
      </c>
      <c r="F15" s="15">
        <v>4</v>
      </c>
      <c r="G15" s="15">
        <v>4</v>
      </c>
      <c r="H15" s="15">
        <v>4</v>
      </c>
      <c r="I15" s="57"/>
      <c r="J15" s="15">
        <v>4</v>
      </c>
      <c r="K15" s="15">
        <v>4</v>
      </c>
      <c r="L15" s="15">
        <v>4</v>
      </c>
      <c r="M15" s="15">
        <v>4</v>
      </c>
      <c r="N15" s="15">
        <v>3</v>
      </c>
      <c r="O15" s="45">
        <v>3</v>
      </c>
      <c r="P15" s="45">
        <v>3</v>
      </c>
      <c r="Q15" s="15">
        <v>3</v>
      </c>
      <c r="R15" s="15">
        <v>3</v>
      </c>
      <c r="S15" s="15">
        <v>3</v>
      </c>
      <c r="T15" s="45">
        <v>3</v>
      </c>
      <c r="U15" s="15">
        <v>3</v>
      </c>
      <c r="V15" s="50"/>
      <c r="W15" s="15">
        <v>3</v>
      </c>
      <c r="X15" s="15">
        <v>3</v>
      </c>
      <c r="Y15" s="15">
        <v>3</v>
      </c>
      <c r="Z15" s="15">
        <v>3</v>
      </c>
      <c r="AA15" s="15">
        <v>3</v>
      </c>
      <c r="AB15" s="15">
        <v>4</v>
      </c>
      <c r="AC15" s="15">
        <v>4</v>
      </c>
      <c r="AD15" s="5">
        <f t="shared" si="4"/>
        <v>23</v>
      </c>
      <c r="AE15" s="6">
        <f t="shared" si="1"/>
        <v>79</v>
      </c>
      <c r="AF15" s="1">
        <f t="shared" si="3"/>
        <v>3.8333333333333335</v>
      </c>
    </row>
    <row r="16" spans="2:32" ht="16.95" customHeight="1" x14ac:dyDescent="0.25">
      <c r="B16" s="3">
        <v>9</v>
      </c>
      <c r="C16" s="3" t="s">
        <v>24</v>
      </c>
      <c r="D16" s="4" t="s">
        <v>14</v>
      </c>
      <c r="E16" s="45">
        <v>10</v>
      </c>
      <c r="F16" s="15">
        <v>10</v>
      </c>
      <c r="G16" s="15">
        <v>10</v>
      </c>
      <c r="H16" s="15">
        <v>10</v>
      </c>
      <c r="I16" s="57"/>
      <c r="J16" s="15">
        <v>10</v>
      </c>
      <c r="K16" s="15">
        <v>10</v>
      </c>
      <c r="L16" s="15">
        <v>10</v>
      </c>
      <c r="M16" s="1">
        <v>10</v>
      </c>
      <c r="N16" s="15">
        <v>10</v>
      </c>
      <c r="O16" s="45">
        <v>10</v>
      </c>
      <c r="P16" s="45">
        <v>10</v>
      </c>
      <c r="Q16" s="15">
        <v>10</v>
      </c>
      <c r="R16" s="15">
        <v>10</v>
      </c>
      <c r="S16" s="15">
        <v>10</v>
      </c>
      <c r="T16" s="45">
        <v>9</v>
      </c>
      <c r="U16" s="1">
        <v>9</v>
      </c>
      <c r="V16" s="50"/>
      <c r="W16" s="15">
        <v>10</v>
      </c>
      <c r="X16" s="15">
        <v>10</v>
      </c>
      <c r="Y16" s="15">
        <v>10</v>
      </c>
      <c r="Z16" s="15">
        <v>10</v>
      </c>
      <c r="AA16" s="15">
        <v>10</v>
      </c>
      <c r="AB16" s="15">
        <v>10</v>
      </c>
      <c r="AC16" s="15">
        <v>9</v>
      </c>
      <c r="AD16" s="5">
        <f>COUNTA(E16:AC16)</f>
        <v>23</v>
      </c>
      <c r="AE16" s="6">
        <f t="shared" si="1"/>
        <v>227</v>
      </c>
      <c r="AF16" s="1">
        <f t="shared" si="3"/>
        <v>3.8333333333333335</v>
      </c>
    </row>
    <row r="17" spans="2:32" ht="16.95" customHeight="1" x14ac:dyDescent="0.25">
      <c r="B17" s="3">
        <v>10</v>
      </c>
      <c r="C17" s="3" t="s">
        <v>25</v>
      </c>
      <c r="D17" s="4" t="s">
        <v>14</v>
      </c>
      <c r="E17" s="45">
        <v>12</v>
      </c>
      <c r="F17" s="15">
        <v>12</v>
      </c>
      <c r="G17" s="15">
        <v>12</v>
      </c>
      <c r="H17" s="15">
        <v>12</v>
      </c>
      <c r="I17" s="57"/>
      <c r="J17" s="15">
        <v>12</v>
      </c>
      <c r="K17" s="15">
        <v>12</v>
      </c>
      <c r="L17" s="15">
        <v>12</v>
      </c>
      <c r="M17" s="15">
        <v>12</v>
      </c>
      <c r="N17" s="15">
        <v>12</v>
      </c>
      <c r="O17" s="45">
        <v>11</v>
      </c>
      <c r="P17" s="45">
        <v>11</v>
      </c>
      <c r="Q17" s="15">
        <v>11</v>
      </c>
      <c r="R17" s="15">
        <v>11</v>
      </c>
      <c r="S17" s="15">
        <v>11</v>
      </c>
      <c r="T17" s="45">
        <v>10</v>
      </c>
      <c r="U17" s="15">
        <v>10</v>
      </c>
      <c r="V17" s="50"/>
      <c r="W17" s="15">
        <v>10</v>
      </c>
      <c r="X17" s="15">
        <v>10</v>
      </c>
      <c r="Y17" s="15">
        <v>10</v>
      </c>
      <c r="Z17" s="15">
        <v>10</v>
      </c>
      <c r="AA17" s="15">
        <v>10</v>
      </c>
      <c r="AB17" s="15">
        <v>10</v>
      </c>
      <c r="AC17" s="15">
        <v>10</v>
      </c>
      <c r="AD17" s="5">
        <f>COUNTA(E17:AC17)</f>
        <v>23</v>
      </c>
      <c r="AE17" s="6">
        <f t="shared" si="1"/>
        <v>253</v>
      </c>
      <c r="AF17" s="1">
        <f t="shared" si="3"/>
        <v>3.8333333333333335</v>
      </c>
    </row>
    <row r="18" spans="2:32" ht="16.95" customHeight="1" x14ac:dyDescent="0.25">
      <c r="B18" s="3">
        <v>11</v>
      </c>
      <c r="C18" s="3" t="s">
        <v>26</v>
      </c>
      <c r="D18" s="4" t="s">
        <v>27</v>
      </c>
      <c r="E18" s="45">
        <v>2</v>
      </c>
      <c r="F18" s="15">
        <v>2</v>
      </c>
      <c r="G18" s="15">
        <v>2</v>
      </c>
      <c r="H18" s="15">
        <v>2</v>
      </c>
      <c r="I18" s="57"/>
      <c r="J18" s="15">
        <v>2</v>
      </c>
      <c r="K18" s="15">
        <v>2</v>
      </c>
      <c r="L18" s="15">
        <v>2</v>
      </c>
      <c r="M18" s="15">
        <v>2</v>
      </c>
      <c r="N18" s="15">
        <v>2</v>
      </c>
      <c r="O18" s="45">
        <v>2</v>
      </c>
      <c r="P18" s="45">
        <v>2</v>
      </c>
      <c r="Q18" s="15">
        <v>2</v>
      </c>
      <c r="R18" s="15">
        <v>2</v>
      </c>
      <c r="S18" s="15">
        <v>2</v>
      </c>
      <c r="T18" s="45">
        <v>2</v>
      </c>
      <c r="U18" s="15">
        <v>2</v>
      </c>
      <c r="V18" s="50"/>
      <c r="W18" s="15">
        <v>2</v>
      </c>
      <c r="X18" s="15">
        <v>2</v>
      </c>
      <c r="Y18" s="15">
        <v>2</v>
      </c>
      <c r="Z18" s="15">
        <v>2</v>
      </c>
      <c r="AA18" s="15">
        <v>2</v>
      </c>
      <c r="AB18" s="15">
        <v>2</v>
      </c>
      <c r="AC18" s="15">
        <v>2</v>
      </c>
      <c r="AD18" s="5">
        <f>COUNTA(E18:AC18)</f>
        <v>23</v>
      </c>
      <c r="AE18" s="6">
        <f>SUM(E18:AC18)</f>
        <v>46</v>
      </c>
      <c r="AF18" s="1">
        <f t="shared" si="3"/>
        <v>3.8333333333333335</v>
      </c>
    </row>
    <row r="19" spans="2:32" ht="16.95" customHeight="1" x14ac:dyDescent="0.25">
      <c r="B19" s="3">
        <v>12</v>
      </c>
      <c r="C19" s="3" t="s">
        <v>35</v>
      </c>
      <c r="D19" s="4" t="s">
        <v>14</v>
      </c>
      <c r="E19" s="45">
        <v>8</v>
      </c>
      <c r="F19" s="15">
        <v>8</v>
      </c>
      <c r="G19" s="15">
        <v>7</v>
      </c>
      <c r="H19" s="15">
        <v>7</v>
      </c>
      <c r="I19" s="57"/>
      <c r="J19" s="15">
        <v>8</v>
      </c>
      <c r="K19" s="15">
        <v>7</v>
      </c>
      <c r="L19" s="15">
        <v>8</v>
      </c>
      <c r="M19" s="15">
        <v>7</v>
      </c>
      <c r="N19" s="15">
        <v>8</v>
      </c>
      <c r="O19" s="45">
        <v>7</v>
      </c>
      <c r="P19" s="45">
        <v>8</v>
      </c>
      <c r="Q19" s="15">
        <v>7</v>
      </c>
      <c r="R19" s="15">
        <v>7</v>
      </c>
      <c r="S19" s="15">
        <v>5</v>
      </c>
      <c r="T19" s="45">
        <v>7</v>
      </c>
      <c r="U19" s="15">
        <v>6</v>
      </c>
      <c r="V19" s="50"/>
      <c r="W19" s="15">
        <v>7</v>
      </c>
      <c r="X19" s="15">
        <v>8</v>
      </c>
      <c r="Y19" s="15">
        <v>7</v>
      </c>
      <c r="Z19" s="15">
        <v>7</v>
      </c>
      <c r="AA19" s="15">
        <v>8</v>
      </c>
      <c r="AB19" s="15">
        <v>8</v>
      </c>
      <c r="AC19" s="15">
        <v>7</v>
      </c>
      <c r="AD19" s="5">
        <f>COUNTA(E19:AC19)</f>
        <v>23</v>
      </c>
      <c r="AE19" s="6">
        <f t="shared" si="1"/>
        <v>167</v>
      </c>
      <c r="AF19" s="1">
        <f>AD19*10/60</f>
        <v>3.8333333333333335</v>
      </c>
    </row>
    <row r="20" spans="2:32" s="27" customFormat="1" ht="12" customHeight="1" thickBot="1" x14ac:dyDescent="0.3">
      <c r="D20" s="28"/>
      <c r="E20" s="29">
        <f t="shared" ref="E20:AB20" si="5">SUM(E8:E19)*10/60</f>
        <v>14.166666666666666</v>
      </c>
      <c r="F20" s="29">
        <f t="shared" si="5"/>
        <v>14.333333333333334</v>
      </c>
      <c r="G20" s="29">
        <f t="shared" si="5"/>
        <v>13.833333333333334</v>
      </c>
      <c r="H20" s="29">
        <f t="shared" si="5"/>
        <v>14.333333333333334</v>
      </c>
      <c r="I20" s="29">
        <f t="shared" si="5"/>
        <v>0</v>
      </c>
      <c r="J20" s="29">
        <f t="shared" si="5"/>
        <v>14.5</v>
      </c>
      <c r="K20" s="29">
        <f t="shared" si="5"/>
        <v>14</v>
      </c>
      <c r="L20" s="29">
        <f t="shared" si="5"/>
        <v>14.5</v>
      </c>
      <c r="M20" s="29">
        <f t="shared" si="5"/>
        <v>13.666666666666666</v>
      </c>
      <c r="N20" s="29">
        <f t="shared" si="5"/>
        <v>14.166666666666666</v>
      </c>
      <c r="O20" s="29">
        <f>SUM(O8:O19)*10/60</f>
        <v>13.5</v>
      </c>
      <c r="P20" s="29">
        <f t="shared" si="5"/>
        <v>14</v>
      </c>
      <c r="Q20" s="29">
        <f t="shared" si="5"/>
        <v>13.5</v>
      </c>
      <c r="R20" s="29">
        <f t="shared" si="5"/>
        <v>13.666666666666666</v>
      </c>
      <c r="S20" s="29">
        <f t="shared" si="5"/>
        <v>12.833333333333334</v>
      </c>
      <c r="T20" s="29">
        <f>SUM(T8:T19)*10/60</f>
        <v>13</v>
      </c>
      <c r="U20" s="29">
        <f>SUM(U8:U19)*10/60</f>
        <v>13.166666666666666</v>
      </c>
      <c r="V20" s="29">
        <f>SUM(V8:V19)*10/60</f>
        <v>0</v>
      </c>
      <c r="W20" s="29">
        <f t="shared" si="5"/>
        <v>13.5</v>
      </c>
      <c r="X20" s="29">
        <f>SUM(X8:X19)*10/60</f>
        <v>13.333333333333334</v>
      </c>
      <c r="Y20" s="29">
        <f t="shared" si="5"/>
        <v>13.5</v>
      </c>
      <c r="Z20" s="29">
        <f t="shared" si="5"/>
        <v>13.333333333333334</v>
      </c>
      <c r="AA20" s="29">
        <f t="shared" si="5"/>
        <v>13.833333333333334</v>
      </c>
      <c r="AB20" s="29">
        <f t="shared" si="5"/>
        <v>13.5</v>
      </c>
      <c r="AC20" s="29">
        <f>SUM(AC8:AC19)*10/60</f>
        <v>13.5</v>
      </c>
      <c r="AD20" s="32">
        <f>SUM(E20:U20)</f>
        <v>221.16666666666666</v>
      </c>
      <c r="AE20" s="30"/>
    </row>
    <row r="21" spans="2:32" ht="26.25" customHeight="1" x14ac:dyDescent="0.25">
      <c r="D21" s="7" t="s">
        <v>29</v>
      </c>
      <c r="E21" s="16">
        <f t="shared" ref="E21:AB21" si="6">COUNT(E8:E19)</f>
        <v>12</v>
      </c>
      <c r="F21" s="16">
        <f t="shared" si="6"/>
        <v>12</v>
      </c>
      <c r="G21" s="16">
        <f t="shared" si="6"/>
        <v>12</v>
      </c>
      <c r="H21" s="16">
        <f t="shared" si="6"/>
        <v>12</v>
      </c>
      <c r="I21" s="16">
        <f t="shared" si="6"/>
        <v>0</v>
      </c>
      <c r="J21" s="16">
        <f t="shared" si="6"/>
        <v>12</v>
      </c>
      <c r="K21" s="16">
        <f t="shared" si="6"/>
        <v>12</v>
      </c>
      <c r="L21" s="16">
        <f t="shared" si="6"/>
        <v>12</v>
      </c>
      <c r="M21" s="16">
        <f t="shared" si="6"/>
        <v>12</v>
      </c>
      <c r="N21" s="16">
        <f t="shared" si="6"/>
        <v>12</v>
      </c>
      <c r="O21" s="16">
        <f>COUNT(O8:O19)</f>
        <v>12</v>
      </c>
      <c r="P21" s="16">
        <f t="shared" si="6"/>
        <v>12</v>
      </c>
      <c r="Q21" s="16">
        <f t="shared" si="6"/>
        <v>12</v>
      </c>
      <c r="R21" s="16">
        <f t="shared" si="6"/>
        <v>12</v>
      </c>
      <c r="S21" s="16">
        <f t="shared" si="6"/>
        <v>12</v>
      </c>
      <c r="T21" s="16">
        <f>COUNT(T8:T19)</f>
        <v>12</v>
      </c>
      <c r="U21" s="16">
        <f>COUNT(U8:U19)</f>
        <v>12</v>
      </c>
      <c r="V21" s="16">
        <f>COUNT(V8:V19)</f>
        <v>0</v>
      </c>
      <c r="W21" s="16">
        <f t="shared" si="6"/>
        <v>12</v>
      </c>
      <c r="X21" s="16">
        <f>COUNT(X8:X19)</f>
        <v>12</v>
      </c>
      <c r="Y21" s="16">
        <f t="shared" si="6"/>
        <v>12</v>
      </c>
      <c r="Z21" s="16">
        <f t="shared" si="6"/>
        <v>12</v>
      </c>
      <c r="AA21" s="16">
        <f t="shared" si="6"/>
        <v>12</v>
      </c>
      <c r="AB21" s="16">
        <f t="shared" si="6"/>
        <v>12</v>
      </c>
      <c r="AC21" s="16">
        <f>COUNT(AC8:AC19)</f>
        <v>12</v>
      </c>
      <c r="AD21" s="24" t="s">
        <v>30</v>
      </c>
      <c r="AE21" s="8" t="s">
        <v>30</v>
      </c>
    </row>
    <row r="22" spans="2:32" ht="28.5" customHeight="1" x14ac:dyDescent="0.25">
      <c r="D22" s="9" t="s">
        <v>31</v>
      </c>
      <c r="E22" s="17">
        <f t="shared" ref="E22:AB22" si="7">COUNT(E8:E19)</f>
        <v>12</v>
      </c>
      <c r="F22" s="17">
        <f t="shared" si="7"/>
        <v>12</v>
      </c>
      <c r="G22" s="17">
        <f t="shared" si="7"/>
        <v>12</v>
      </c>
      <c r="H22" s="17">
        <f t="shared" si="7"/>
        <v>12</v>
      </c>
      <c r="I22" s="17">
        <f t="shared" si="7"/>
        <v>0</v>
      </c>
      <c r="J22" s="17">
        <f t="shared" si="7"/>
        <v>12</v>
      </c>
      <c r="K22" s="17">
        <f t="shared" si="7"/>
        <v>12</v>
      </c>
      <c r="L22" s="17">
        <f t="shared" si="7"/>
        <v>12</v>
      </c>
      <c r="M22" s="17">
        <f t="shared" si="7"/>
        <v>12</v>
      </c>
      <c r="N22" s="17">
        <f t="shared" si="7"/>
        <v>12</v>
      </c>
      <c r="O22" s="17">
        <f>COUNT(O8:O19)</f>
        <v>12</v>
      </c>
      <c r="P22" s="17">
        <f t="shared" si="7"/>
        <v>12</v>
      </c>
      <c r="Q22" s="17">
        <f t="shared" si="7"/>
        <v>12</v>
      </c>
      <c r="R22" s="17">
        <f t="shared" si="7"/>
        <v>12</v>
      </c>
      <c r="S22" s="17">
        <f t="shared" si="7"/>
        <v>12</v>
      </c>
      <c r="T22" s="17">
        <f>COUNT(T8:T19)</f>
        <v>12</v>
      </c>
      <c r="U22" s="17">
        <f>COUNT(U8:U19)</f>
        <v>12</v>
      </c>
      <c r="V22" s="17">
        <f>COUNT(V8:V19)</f>
        <v>0</v>
      </c>
      <c r="W22" s="17">
        <f t="shared" si="7"/>
        <v>12</v>
      </c>
      <c r="X22" s="17">
        <f>COUNT(X8:X19)</f>
        <v>12</v>
      </c>
      <c r="Y22" s="17">
        <f t="shared" si="7"/>
        <v>12</v>
      </c>
      <c r="Z22" s="17">
        <f t="shared" si="7"/>
        <v>12</v>
      </c>
      <c r="AA22" s="17">
        <f t="shared" si="7"/>
        <v>12</v>
      </c>
      <c r="AB22" s="17">
        <f t="shared" si="7"/>
        <v>12</v>
      </c>
      <c r="AC22" s="17">
        <f>COUNT(AC8:AC19)</f>
        <v>12</v>
      </c>
      <c r="AD22" s="25" t="s">
        <v>30</v>
      </c>
      <c r="AE22" s="10">
        <f>SUM(E22:AC22)</f>
        <v>276</v>
      </c>
    </row>
    <row r="23" spans="2:32" ht="23.25" customHeight="1" x14ac:dyDescent="0.25">
      <c r="D23" s="9" t="s">
        <v>32</v>
      </c>
      <c r="E23" s="18">
        <f t="shared" ref="E23:AB23" si="8">SUM(E8:E19)</f>
        <v>85</v>
      </c>
      <c r="F23" s="18">
        <f t="shared" si="8"/>
        <v>86</v>
      </c>
      <c r="G23" s="18">
        <f t="shared" si="8"/>
        <v>83</v>
      </c>
      <c r="H23" s="18">
        <f t="shared" si="8"/>
        <v>86</v>
      </c>
      <c r="I23" s="18">
        <f t="shared" si="8"/>
        <v>0</v>
      </c>
      <c r="J23" s="18">
        <f t="shared" si="8"/>
        <v>87</v>
      </c>
      <c r="K23" s="18">
        <f t="shared" si="8"/>
        <v>84</v>
      </c>
      <c r="L23" s="18">
        <f t="shared" si="8"/>
        <v>87</v>
      </c>
      <c r="M23" s="18">
        <f t="shared" si="8"/>
        <v>82</v>
      </c>
      <c r="N23" s="18">
        <f t="shared" si="8"/>
        <v>85</v>
      </c>
      <c r="O23" s="18">
        <f>SUM(O8:O19)</f>
        <v>81</v>
      </c>
      <c r="P23" s="18">
        <f t="shared" si="8"/>
        <v>84</v>
      </c>
      <c r="Q23" s="18">
        <f t="shared" si="8"/>
        <v>81</v>
      </c>
      <c r="R23" s="18">
        <f t="shared" si="8"/>
        <v>82</v>
      </c>
      <c r="S23" s="18">
        <f t="shared" si="8"/>
        <v>77</v>
      </c>
      <c r="T23" s="18">
        <f>SUM(T8:T19)</f>
        <v>78</v>
      </c>
      <c r="U23" s="18">
        <f>SUM(U8:U19)</f>
        <v>79</v>
      </c>
      <c r="V23" s="18">
        <f>SUM(V8:V19)</f>
        <v>0</v>
      </c>
      <c r="W23" s="18">
        <f t="shared" si="8"/>
        <v>81</v>
      </c>
      <c r="X23" s="18">
        <f>SUM(X8:X19)</f>
        <v>80</v>
      </c>
      <c r="Y23" s="18">
        <f t="shared" si="8"/>
        <v>81</v>
      </c>
      <c r="Z23" s="18">
        <f t="shared" si="8"/>
        <v>80</v>
      </c>
      <c r="AA23" s="18">
        <f t="shared" si="8"/>
        <v>83</v>
      </c>
      <c r="AB23" s="18">
        <f t="shared" si="8"/>
        <v>81</v>
      </c>
      <c r="AC23" s="18">
        <f>SUM(AC8:AC19)</f>
        <v>81</v>
      </c>
      <c r="AD23" s="25" t="s">
        <v>30</v>
      </c>
      <c r="AE23" s="11">
        <f>SUM(E23:AC23)</f>
        <v>1894</v>
      </c>
    </row>
    <row r="24" spans="2:32" ht="23.25" customHeight="1" thickBot="1" x14ac:dyDescent="0.3">
      <c r="D24" s="12" t="s">
        <v>33</v>
      </c>
      <c r="E24" s="19">
        <f t="shared" ref="E24:AC24" si="9">E22*10/60</f>
        <v>2</v>
      </c>
      <c r="F24" s="19">
        <f t="shared" si="9"/>
        <v>2</v>
      </c>
      <c r="G24" s="19">
        <f t="shared" si="9"/>
        <v>2</v>
      </c>
      <c r="H24" s="19">
        <f t="shared" si="9"/>
        <v>2</v>
      </c>
      <c r="I24" s="19">
        <f t="shared" si="9"/>
        <v>0</v>
      </c>
      <c r="J24" s="19">
        <f t="shared" si="9"/>
        <v>2</v>
      </c>
      <c r="K24" s="19">
        <f t="shared" si="9"/>
        <v>2</v>
      </c>
      <c r="L24" s="19">
        <f t="shared" si="9"/>
        <v>2</v>
      </c>
      <c r="M24" s="19">
        <f t="shared" si="9"/>
        <v>2</v>
      </c>
      <c r="N24" s="19">
        <f t="shared" si="9"/>
        <v>2</v>
      </c>
      <c r="O24" s="19">
        <f t="shared" si="9"/>
        <v>2</v>
      </c>
      <c r="P24" s="19">
        <f t="shared" si="9"/>
        <v>2</v>
      </c>
      <c r="Q24" s="19">
        <f t="shared" si="9"/>
        <v>2</v>
      </c>
      <c r="R24" s="19">
        <f t="shared" si="9"/>
        <v>2</v>
      </c>
      <c r="S24" s="19">
        <f t="shared" si="9"/>
        <v>2</v>
      </c>
      <c r="T24" s="19">
        <f t="shared" si="9"/>
        <v>2</v>
      </c>
      <c r="U24" s="19">
        <f t="shared" si="9"/>
        <v>2</v>
      </c>
      <c r="V24" s="19">
        <f t="shared" si="9"/>
        <v>0</v>
      </c>
      <c r="W24" s="19">
        <f t="shared" si="9"/>
        <v>2</v>
      </c>
      <c r="X24" s="19">
        <f t="shared" si="9"/>
        <v>2</v>
      </c>
      <c r="Y24" s="19">
        <f t="shared" si="9"/>
        <v>2</v>
      </c>
      <c r="Z24" s="19">
        <f t="shared" si="9"/>
        <v>2</v>
      </c>
      <c r="AA24" s="19">
        <f t="shared" si="9"/>
        <v>2</v>
      </c>
      <c r="AB24" s="19">
        <f t="shared" si="9"/>
        <v>2</v>
      </c>
      <c r="AC24" s="19">
        <f t="shared" si="9"/>
        <v>2</v>
      </c>
      <c r="AD24" s="26"/>
      <c r="AE24" s="13">
        <f>SUM(E24:AC24)</f>
        <v>46</v>
      </c>
    </row>
  </sheetData>
  <mergeCells count="6">
    <mergeCell ref="B2:C6"/>
    <mergeCell ref="D2:AE2"/>
    <mergeCell ref="D4:AE4"/>
    <mergeCell ref="D5:D6"/>
    <mergeCell ref="AD5:AD7"/>
    <mergeCell ref="AE5:AE7"/>
  </mergeCells>
  <pageMargins left="0.7" right="0.7" top="0.75" bottom="0.75" header="0.3" footer="0.3"/>
  <pageSetup scale="2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8D3D-217B-45BA-ACE6-8FF23F06A6D8}">
  <sheetPr>
    <pageSetUpPr fitToPage="1"/>
  </sheetPr>
  <dimension ref="B1:AA24"/>
  <sheetViews>
    <sheetView showGridLines="0" topLeftCell="M1" zoomScale="96" zoomScaleNormal="96" workbookViewId="0">
      <pane ySplit="7" topLeftCell="A8" activePane="bottomLeft" state="frozen"/>
      <selection activeCell="T26" sqref="T26"/>
      <selection pane="bottomLeft" activeCell="T26" sqref="T26"/>
    </sheetView>
  </sheetViews>
  <sheetFormatPr defaultColWidth="15" defaultRowHeight="18.75" customHeight="1" x14ac:dyDescent="0.25"/>
  <cols>
    <col min="1" max="1" width="1" style="1" customWidth="1"/>
    <col min="2" max="2" width="5.109375" style="1" customWidth="1"/>
    <col min="3" max="3" width="23.44140625" style="1" customWidth="1"/>
    <col min="4" max="4" width="28.77734375" style="1" customWidth="1"/>
    <col min="5" max="11" width="15.6640625" style="1" bestFit="1" customWidth="1"/>
    <col min="12" max="13" width="15.6640625" style="1" customWidth="1"/>
    <col min="14" max="21" width="15.6640625" style="1" bestFit="1" customWidth="1"/>
    <col min="22" max="24" width="15.6640625" style="1" customWidth="1"/>
    <col min="25" max="25" width="13.77734375" style="2" customWidth="1"/>
    <col min="26" max="26" width="6.77734375" style="1" customWidth="1"/>
    <col min="27" max="27" width="6.109375" style="1" customWidth="1"/>
    <col min="28" max="28" width="4.77734375" style="1" customWidth="1"/>
    <col min="29" max="29" width="3.77734375" style="1" customWidth="1"/>
    <col min="30" max="30" width="5.77734375" style="1" customWidth="1"/>
    <col min="31" max="31" width="8.109375" style="1" customWidth="1"/>
    <col min="32" max="32" width="7" style="1" customWidth="1"/>
    <col min="33" max="16384" width="15" style="1"/>
  </cols>
  <sheetData>
    <row r="1" spans="2:27" ht="4.5" customHeight="1" x14ac:dyDescent="0.25"/>
    <row r="2" spans="2:27" s="42" customFormat="1" ht="16.2" customHeight="1" x14ac:dyDescent="0.25">
      <c r="B2" s="59"/>
      <c r="C2" s="59"/>
      <c r="D2" s="60" t="s">
        <v>34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2"/>
    </row>
    <row r="3" spans="2:27" s="41" customFormat="1" ht="15.6" customHeight="1" x14ac:dyDescent="0.25">
      <c r="B3" s="59"/>
      <c r="C3" s="59"/>
      <c r="D3" s="37"/>
      <c r="E3" s="44" t="str">
        <f>"SEMANA 01: " &amp; SUM(E8:I19)</f>
        <v>SEMANA 01: 429</v>
      </c>
      <c r="F3" s="38"/>
      <c r="G3" s="38"/>
      <c r="H3" s="38"/>
      <c r="I3" s="43"/>
      <c r="J3" s="44" t="str">
        <f>"SEMANA 02: " &amp; SUM(J8:N19)</f>
        <v>SEMANA 02: 427</v>
      </c>
      <c r="K3" s="38"/>
      <c r="L3" s="38"/>
      <c r="M3" s="38"/>
      <c r="N3" s="43"/>
      <c r="Q3" s="44" t="str">
        <f>"SEMANA 03: "&amp;SUM(O8:S19)</f>
        <v>SEMANA 03: 427</v>
      </c>
      <c r="R3" s="39"/>
      <c r="S3" s="40"/>
      <c r="T3" s="55"/>
      <c r="V3" s="44" t="str">
        <f>"SEMANA 04: "&amp;SUM(T8:X19)</f>
        <v>SEMANA 04: 421</v>
      </c>
      <c r="W3" s="39"/>
      <c r="X3" s="43"/>
      <c r="Y3" s="39"/>
      <c r="Z3" s="40"/>
    </row>
    <row r="4" spans="2:27" ht="11.25" customHeight="1" x14ac:dyDescent="0.25">
      <c r="B4" s="59"/>
      <c r="C4" s="59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2:27" ht="12.75" customHeight="1" x14ac:dyDescent="0.25">
      <c r="B5" s="59"/>
      <c r="C5" s="59"/>
      <c r="D5" s="66" t="s">
        <v>2</v>
      </c>
      <c r="E5" s="23">
        <v>46209</v>
      </c>
      <c r="F5" s="23">
        <v>46210</v>
      </c>
      <c r="G5" s="23">
        <v>46211</v>
      </c>
      <c r="H5" s="23">
        <v>46212</v>
      </c>
      <c r="I5" s="23">
        <v>46213</v>
      </c>
      <c r="J5" s="23">
        <v>46216</v>
      </c>
      <c r="K5" s="23">
        <v>46217</v>
      </c>
      <c r="L5" s="23">
        <v>46218</v>
      </c>
      <c r="M5" s="23">
        <v>46219</v>
      </c>
      <c r="N5" s="23">
        <v>46220</v>
      </c>
      <c r="O5" s="23">
        <v>46223</v>
      </c>
      <c r="P5" s="23">
        <v>46224</v>
      </c>
      <c r="Q5" s="23">
        <v>46225</v>
      </c>
      <c r="R5" s="23">
        <v>46226</v>
      </c>
      <c r="S5" s="23">
        <v>46227</v>
      </c>
      <c r="T5" s="23">
        <v>46230</v>
      </c>
      <c r="U5" s="23">
        <v>46231</v>
      </c>
      <c r="V5" s="23">
        <v>46232</v>
      </c>
      <c r="W5" s="23">
        <v>46233</v>
      </c>
      <c r="X5" s="23">
        <v>46234</v>
      </c>
      <c r="Y5" s="67" t="s">
        <v>3</v>
      </c>
      <c r="Z5" s="70" t="s">
        <v>4</v>
      </c>
    </row>
    <row r="6" spans="2:27" ht="15" customHeight="1" x14ac:dyDescent="0.25">
      <c r="B6" s="59"/>
      <c r="C6" s="59"/>
      <c r="D6" s="66"/>
      <c r="E6" s="14">
        <f t="shared" ref="E6:X6" si="0">E5</f>
        <v>46209</v>
      </c>
      <c r="F6" s="14">
        <f t="shared" si="0"/>
        <v>46210</v>
      </c>
      <c r="G6" s="14">
        <f t="shared" si="0"/>
        <v>46211</v>
      </c>
      <c r="H6" s="14">
        <f t="shared" si="0"/>
        <v>46212</v>
      </c>
      <c r="I6" s="14">
        <f t="shared" si="0"/>
        <v>46213</v>
      </c>
      <c r="J6" s="14">
        <f t="shared" si="0"/>
        <v>46216</v>
      </c>
      <c r="K6" s="14">
        <f t="shared" si="0"/>
        <v>46217</v>
      </c>
      <c r="L6" s="14">
        <f t="shared" si="0"/>
        <v>46218</v>
      </c>
      <c r="M6" s="14">
        <f t="shared" si="0"/>
        <v>46219</v>
      </c>
      <c r="N6" s="14">
        <f t="shared" si="0"/>
        <v>46220</v>
      </c>
      <c r="O6" s="14">
        <f t="shared" si="0"/>
        <v>46223</v>
      </c>
      <c r="P6" s="14">
        <f t="shared" si="0"/>
        <v>46224</v>
      </c>
      <c r="Q6" s="14">
        <f t="shared" si="0"/>
        <v>46225</v>
      </c>
      <c r="R6" s="14">
        <f t="shared" si="0"/>
        <v>46226</v>
      </c>
      <c r="S6" s="14">
        <f t="shared" si="0"/>
        <v>46227</v>
      </c>
      <c r="T6" s="14">
        <f t="shared" si="0"/>
        <v>46230</v>
      </c>
      <c r="U6" s="14">
        <f t="shared" si="0"/>
        <v>46231</v>
      </c>
      <c r="V6" s="14">
        <f t="shared" si="0"/>
        <v>46232</v>
      </c>
      <c r="W6" s="14">
        <f t="shared" si="0"/>
        <v>46233</v>
      </c>
      <c r="X6" s="14">
        <f t="shared" si="0"/>
        <v>46234</v>
      </c>
      <c r="Y6" s="68"/>
      <c r="Z6" s="71"/>
    </row>
    <row r="7" spans="2:27" ht="14.25" customHeight="1" x14ac:dyDescent="0.25">
      <c r="B7" s="20" t="s">
        <v>5</v>
      </c>
      <c r="C7" s="20" t="s">
        <v>6</v>
      </c>
      <c r="D7" s="20" t="s">
        <v>7</v>
      </c>
      <c r="E7" s="21" t="s">
        <v>8</v>
      </c>
      <c r="F7" s="21" t="s">
        <v>8</v>
      </c>
      <c r="G7" s="21" t="s">
        <v>8</v>
      </c>
      <c r="H7" s="21" t="s">
        <v>8</v>
      </c>
      <c r="I7" s="21" t="s">
        <v>8</v>
      </c>
      <c r="J7" s="21" t="s">
        <v>8</v>
      </c>
      <c r="K7" s="21" t="s">
        <v>8</v>
      </c>
      <c r="L7" s="21" t="s">
        <v>8</v>
      </c>
      <c r="M7" s="21" t="s">
        <v>8</v>
      </c>
      <c r="N7" s="21" t="s">
        <v>8</v>
      </c>
      <c r="O7" s="21" t="s">
        <v>8</v>
      </c>
      <c r="P7" s="21" t="s">
        <v>8</v>
      </c>
      <c r="Q7" s="21" t="s">
        <v>8</v>
      </c>
      <c r="R7" s="21" t="s">
        <v>8</v>
      </c>
      <c r="S7" s="21" t="s">
        <v>8</v>
      </c>
      <c r="T7" s="21" t="s">
        <v>8</v>
      </c>
      <c r="U7" s="21" t="s">
        <v>8</v>
      </c>
      <c r="V7" s="21" t="s">
        <v>8</v>
      </c>
      <c r="W7" s="21" t="s">
        <v>8</v>
      </c>
      <c r="X7" s="21" t="s">
        <v>8</v>
      </c>
      <c r="Y7" s="69"/>
      <c r="Z7" s="72"/>
    </row>
    <row r="8" spans="2:27" ht="16.95" customHeight="1" x14ac:dyDescent="0.25">
      <c r="B8" s="3">
        <v>1</v>
      </c>
      <c r="C8" s="3" t="s">
        <v>9</v>
      </c>
      <c r="D8" s="4" t="s">
        <v>10</v>
      </c>
      <c r="E8" s="45">
        <v>3</v>
      </c>
      <c r="F8" s="15">
        <v>3</v>
      </c>
      <c r="G8" s="15">
        <v>3</v>
      </c>
      <c r="H8" s="15">
        <v>3</v>
      </c>
      <c r="I8" s="52">
        <v>3</v>
      </c>
      <c r="J8" s="15">
        <v>3</v>
      </c>
      <c r="K8" s="15">
        <v>3</v>
      </c>
      <c r="L8" s="15">
        <v>3</v>
      </c>
      <c r="M8" s="15">
        <v>3</v>
      </c>
      <c r="N8" s="15">
        <v>3</v>
      </c>
      <c r="O8" s="45">
        <v>3</v>
      </c>
      <c r="P8" s="45">
        <v>3</v>
      </c>
      <c r="Q8" s="15">
        <v>3</v>
      </c>
      <c r="R8" s="15">
        <v>3</v>
      </c>
      <c r="S8" s="15">
        <v>3</v>
      </c>
      <c r="T8" s="45">
        <v>3</v>
      </c>
      <c r="U8" s="15">
        <v>3</v>
      </c>
      <c r="V8" s="45">
        <v>3</v>
      </c>
      <c r="W8" s="15">
        <v>2</v>
      </c>
      <c r="X8" s="15">
        <v>2</v>
      </c>
      <c r="Y8" s="5">
        <f t="shared" ref="Y8:Y19" si="1">COUNTA(E8:X8)</f>
        <v>20</v>
      </c>
      <c r="Z8" s="6">
        <f t="shared" ref="Z8:Z19" si="2">SUM(E8:X8)</f>
        <v>58</v>
      </c>
      <c r="AA8" s="1">
        <f>Y8*10/60</f>
        <v>3.3333333333333335</v>
      </c>
    </row>
    <row r="9" spans="2:27" ht="16.95" customHeight="1" x14ac:dyDescent="0.25">
      <c r="B9" s="3">
        <v>2</v>
      </c>
      <c r="C9" s="3" t="s">
        <v>11</v>
      </c>
      <c r="D9" s="4" t="s">
        <v>12</v>
      </c>
      <c r="E9" s="45">
        <v>7</v>
      </c>
      <c r="F9" s="15">
        <v>6</v>
      </c>
      <c r="G9" s="15">
        <v>7</v>
      </c>
      <c r="H9" s="15">
        <v>6</v>
      </c>
      <c r="I9" s="52">
        <v>7</v>
      </c>
      <c r="J9" s="15">
        <v>6</v>
      </c>
      <c r="K9" s="15">
        <v>7</v>
      </c>
      <c r="L9" s="15">
        <v>6</v>
      </c>
      <c r="M9" s="15">
        <v>7</v>
      </c>
      <c r="N9" s="15">
        <v>6</v>
      </c>
      <c r="O9" s="45">
        <v>7</v>
      </c>
      <c r="P9" s="45">
        <v>6</v>
      </c>
      <c r="Q9" s="15">
        <v>7</v>
      </c>
      <c r="R9" s="15">
        <v>6</v>
      </c>
      <c r="S9" s="15">
        <v>7</v>
      </c>
      <c r="T9" s="45">
        <v>6</v>
      </c>
      <c r="U9" s="15">
        <v>7</v>
      </c>
      <c r="V9" s="49">
        <v>6</v>
      </c>
      <c r="W9" s="15">
        <v>7</v>
      </c>
      <c r="X9" s="54">
        <v>6</v>
      </c>
      <c r="Y9" s="5">
        <f t="shared" si="1"/>
        <v>20</v>
      </c>
      <c r="Z9" s="6">
        <f t="shared" si="2"/>
        <v>130</v>
      </c>
      <c r="AA9" s="1">
        <f t="shared" ref="AA9:AA18" si="3">Y9*10/60</f>
        <v>3.3333333333333335</v>
      </c>
    </row>
    <row r="10" spans="2:27" ht="16.95" customHeight="1" x14ac:dyDescent="0.25">
      <c r="B10" s="3">
        <v>3</v>
      </c>
      <c r="C10" s="3" t="s">
        <v>13</v>
      </c>
      <c r="D10" s="4" t="s">
        <v>14</v>
      </c>
      <c r="E10" s="45">
        <v>12</v>
      </c>
      <c r="F10" s="15">
        <v>12</v>
      </c>
      <c r="G10" s="15">
        <v>11</v>
      </c>
      <c r="H10" s="15">
        <v>11</v>
      </c>
      <c r="I10" s="52">
        <v>11</v>
      </c>
      <c r="J10" s="15">
        <v>12</v>
      </c>
      <c r="K10" s="15">
        <v>12</v>
      </c>
      <c r="L10" s="15">
        <v>10</v>
      </c>
      <c r="M10" s="15">
        <v>8</v>
      </c>
      <c r="N10" s="15">
        <v>11</v>
      </c>
      <c r="O10" s="45">
        <v>12</v>
      </c>
      <c r="P10" s="45">
        <v>12</v>
      </c>
      <c r="Q10" s="15">
        <v>12</v>
      </c>
      <c r="R10" s="15">
        <v>12</v>
      </c>
      <c r="S10" s="15">
        <v>12</v>
      </c>
      <c r="T10" s="45">
        <v>12</v>
      </c>
      <c r="U10" s="1">
        <v>12</v>
      </c>
      <c r="V10" s="45">
        <v>12</v>
      </c>
      <c r="W10" s="15">
        <v>12</v>
      </c>
      <c r="X10" s="15">
        <v>12</v>
      </c>
      <c r="Y10" s="5">
        <f t="shared" si="1"/>
        <v>20</v>
      </c>
      <c r="Z10" s="6">
        <f t="shared" si="2"/>
        <v>230</v>
      </c>
      <c r="AA10" s="1">
        <f t="shared" si="3"/>
        <v>3.3333333333333335</v>
      </c>
    </row>
    <row r="11" spans="2:27" ht="16.95" customHeight="1" x14ac:dyDescent="0.25">
      <c r="B11" s="3">
        <v>4</v>
      </c>
      <c r="C11" s="3" t="s">
        <v>15</v>
      </c>
      <c r="D11" s="4" t="s">
        <v>16</v>
      </c>
      <c r="E11" s="45">
        <v>7</v>
      </c>
      <c r="F11" s="15">
        <v>7</v>
      </c>
      <c r="G11" s="15">
        <v>7</v>
      </c>
      <c r="H11" s="15">
        <v>7</v>
      </c>
      <c r="I11" s="52">
        <v>7</v>
      </c>
      <c r="J11" s="15">
        <v>7</v>
      </c>
      <c r="K11" s="15">
        <v>7</v>
      </c>
      <c r="L11" s="15">
        <v>7</v>
      </c>
      <c r="M11" s="15">
        <v>7</v>
      </c>
      <c r="N11" s="15">
        <v>7</v>
      </c>
      <c r="O11" s="45">
        <v>7</v>
      </c>
      <c r="P11" s="45">
        <v>7</v>
      </c>
      <c r="Q11" s="15">
        <v>7</v>
      </c>
      <c r="R11" s="1">
        <v>7</v>
      </c>
      <c r="S11" s="15">
        <v>7</v>
      </c>
      <c r="T11" s="45">
        <v>7</v>
      </c>
      <c r="U11" s="15">
        <v>7</v>
      </c>
      <c r="V11" s="45">
        <v>7</v>
      </c>
      <c r="W11" s="15">
        <v>7</v>
      </c>
      <c r="X11" s="15">
        <v>7</v>
      </c>
      <c r="Y11" s="5">
        <f t="shared" si="1"/>
        <v>20</v>
      </c>
      <c r="Z11" s="6">
        <f t="shared" si="2"/>
        <v>140</v>
      </c>
      <c r="AA11" s="1">
        <f t="shared" si="3"/>
        <v>3.3333333333333335</v>
      </c>
    </row>
    <row r="12" spans="2:27" ht="16.95" customHeight="1" x14ac:dyDescent="0.25">
      <c r="B12" s="3">
        <v>5</v>
      </c>
      <c r="C12" s="3" t="s">
        <v>17</v>
      </c>
      <c r="D12" s="4" t="s">
        <v>18</v>
      </c>
      <c r="E12" s="45">
        <v>5</v>
      </c>
      <c r="F12" s="15">
        <v>5</v>
      </c>
      <c r="G12" s="15">
        <v>5</v>
      </c>
      <c r="H12" s="15">
        <v>5</v>
      </c>
      <c r="I12" s="52">
        <v>5</v>
      </c>
      <c r="J12" s="15">
        <v>6</v>
      </c>
      <c r="K12" s="15">
        <v>6</v>
      </c>
      <c r="L12" s="15">
        <v>6</v>
      </c>
      <c r="M12" s="15">
        <v>5</v>
      </c>
      <c r="N12" s="15">
        <v>5</v>
      </c>
      <c r="O12" s="45">
        <v>5</v>
      </c>
      <c r="P12" s="45">
        <v>5</v>
      </c>
      <c r="Q12" s="15">
        <v>5</v>
      </c>
      <c r="R12" s="15">
        <v>5</v>
      </c>
      <c r="S12" s="1">
        <v>5</v>
      </c>
      <c r="T12" s="45">
        <v>6</v>
      </c>
      <c r="U12" s="15">
        <v>6</v>
      </c>
      <c r="V12" s="45">
        <v>5</v>
      </c>
      <c r="W12" s="15">
        <v>5</v>
      </c>
      <c r="X12" s="54">
        <v>6</v>
      </c>
      <c r="Y12" s="5">
        <f t="shared" si="1"/>
        <v>20</v>
      </c>
      <c r="Z12" s="6">
        <f t="shared" si="2"/>
        <v>106</v>
      </c>
      <c r="AA12" s="1">
        <f t="shared" si="3"/>
        <v>3.3333333333333335</v>
      </c>
    </row>
    <row r="13" spans="2:27" s="49" customFormat="1" ht="16.95" customHeight="1" x14ac:dyDescent="0.25">
      <c r="B13" s="46">
        <v>6</v>
      </c>
      <c r="C13" s="46" t="s">
        <v>19</v>
      </c>
      <c r="D13" s="47" t="s">
        <v>14</v>
      </c>
      <c r="E13" s="45">
        <v>9</v>
      </c>
      <c r="F13" s="15">
        <v>9</v>
      </c>
      <c r="G13" s="15">
        <v>9</v>
      </c>
      <c r="H13" s="15">
        <v>9</v>
      </c>
      <c r="I13" s="52">
        <v>9</v>
      </c>
      <c r="J13" s="15">
        <v>8</v>
      </c>
      <c r="K13" s="15">
        <v>9</v>
      </c>
      <c r="L13" s="15">
        <v>9</v>
      </c>
      <c r="M13" s="15">
        <v>9</v>
      </c>
      <c r="N13" s="15">
        <v>9</v>
      </c>
      <c r="O13" s="45">
        <v>9</v>
      </c>
      <c r="P13" s="45">
        <v>9</v>
      </c>
      <c r="Q13" s="15">
        <v>8</v>
      </c>
      <c r="R13" s="15">
        <v>9</v>
      </c>
      <c r="S13" s="15">
        <v>9</v>
      </c>
      <c r="T13" s="45">
        <v>9</v>
      </c>
      <c r="U13" s="15">
        <v>9</v>
      </c>
      <c r="V13" s="45">
        <v>9</v>
      </c>
      <c r="W13" s="15">
        <v>9</v>
      </c>
      <c r="X13" s="15">
        <v>9</v>
      </c>
      <c r="Y13" s="5">
        <f t="shared" si="1"/>
        <v>20</v>
      </c>
      <c r="Z13" s="6">
        <f t="shared" si="2"/>
        <v>178</v>
      </c>
      <c r="AA13" s="1">
        <f t="shared" si="3"/>
        <v>3.3333333333333335</v>
      </c>
    </row>
    <row r="14" spans="2:27" ht="16.95" customHeight="1" x14ac:dyDescent="0.25">
      <c r="B14" s="3">
        <v>7</v>
      </c>
      <c r="C14" s="3" t="s">
        <v>20</v>
      </c>
      <c r="D14" s="4" t="s">
        <v>21</v>
      </c>
      <c r="E14" s="45">
        <v>9</v>
      </c>
      <c r="F14" s="15">
        <v>9</v>
      </c>
      <c r="G14" s="15">
        <v>9</v>
      </c>
      <c r="H14" s="15">
        <v>9</v>
      </c>
      <c r="I14" s="52">
        <v>9</v>
      </c>
      <c r="J14" s="15">
        <v>9</v>
      </c>
      <c r="K14" s="15">
        <v>9</v>
      </c>
      <c r="L14" s="15">
        <v>9</v>
      </c>
      <c r="M14" s="15">
        <v>9</v>
      </c>
      <c r="N14" s="15">
        <v>9</v>
      </c>
      <c r="O14" s="45">
        <v>9</v>
      </c>
      <c r="P14" s="45">
        <v>9</v>
      </c>
      <c r="Q14" s="15">
        <v>9</v>
      </c>
      <c r="R14" s="15">
        <v>9</v>
      </c>
      <c r="S14" s="15">
        <v>9</v>
      </c>
      <c r="T14" s="45">
        <v>9</v>
      </c>
      <c r="U14" s="15">
        <v>9</v>
      </c>
      <c r="V14" s="45">
        <v>9</v>
      </c>
      <c r="W14" s="15">
        <v>9</v>
      </c>
      <c r="X14" s="15">
        <v>9</v>
      </c>
      <c r="Y14" s="5">
        <f t="shared" si="1"/>
        <v>20</v>
      </c>
      <c r="Z14" s="6">
        <f t="shared" si="2"/>
        <v>180</v>
      </c>
      <c r="AA14" s="1">
        <f t="shared" si="3"/>
        <v>3.3333333333333335</v>
      </c>
    </row>
    <row r="15" spans="2:27" ht="16.95" customHeight="1" x14ac:dyDescent="0.25">
      <c r="B15" s="3">
        <v>8</v>
      </c>
      <c r="C15" s="3" t="s">
        <v>22</v>
      </c>
      <c r="D15" s="4" t="s">
        <v>23</v>
      </c>
      <c r="E15" s="45">
        <v>4</v>
      </c>
      <c r="F15" s="15">
        <v>4</v>
      </c>
      <c r="G15" s="15">
        <v>4</v>
      </c>
      <c r="H15" s="15">
        <v>4</v>
      </c>
      <c r="I15" s="52">
        <v>4</v>
      </c>
      <c r="J15" s="15">
        <v>4</v>
      </c>
      <c r="K15" s="15">
        <v>4</v>
      </c>
      <c r="L15" s="15">
        <v>4</v>
      </c>
      <c r="M15" s="15">
        <v>4</v>
      </c>
      <c r="N15" s="15">
        <v>4</v>
      </c>
      <c r="O15" s="45">
        <v>4</v>
      </c>
      <c r="P15" s="45">
        <v>4</v>
      </c>
      <c r="Q15" s="15">
        <v>4</v>
      </c>
      <c r="R15" s="15">
        <v>4</v>
      </c>
      <c r="S15" s="15">
        <v>4</v>
      </c>
      <c r="T15" s="45">
        <v>4</v>
      </c>
      <c r="U15" s="15">
        <v>4</v>
      </c>
      <c r="V15" s="45">
        <v>4</v>
      </c>
      <c r="W15" s="15">
        <v>4</v>
      </c>
      <c r="X15" s="15">
        <v>5</v>
      </c>
      <c r="Y15" s="5">
        <f t="shared" si="1"/>
        <v>20</v>
      </c>
      <c r="Z15" s="6">
        <f t="shared" si="2"/>
        <v>81</v>
      </c>
      <c r="AA15" s="1">
        <f t="shared" si="3"/>
        <v>3.3333333333333335</v>
      </c>
    </row>
    <row r="16" spans="2:27" ht="16.95" customHeight="1" x14ac:dyDescent="0.25">
      <c r="B16" s="3">
        <v>9</v>
      </c>
      <c r="C16" s="3" t="s">
        <v>24</v>
      </c>
      <c r="D16" s="4" t="s">
        <v>14</v>
      </c>
      <c r="E16" s="45">
        <v>10</v>
      </c>
      <c r="F16" s="15">
        <v>10</v>
      </c>
      <c r="G16" s="15">
        <v>10</v>
      </c>
      <c r="H16" s="15">
        <v>10</v>
      </c>
      <c r="I16" s="52">
        <v>10</v>
      </c>
      <c r="J16" s="15">
        <v>10</v>
      </c>
      <c r="K16" s="15">
        <v>10</v>
      </c>
      <c r="L16" s="15">
        <v>10</v>
      </c>
      <c r="M16" s="1">
        <v>10</v>
      </c>
      <c r="N16" s="15">
        <v>10</v>
      </c>
      <c r="O16" s="45">
        <v>10</v>
      </c>
      <c r="P16" s="45">
        <v>10</v>
      </c>
      <c r="Q16" s="15">
        <v>10</v>
      </c>
      <c r="R16" s="15">
        <v>10</v>
      </c>
      <c r="S16" s="15">
        <v>10</v>
      </c>
      <c r="T16" s="45">
        <v>10</v>
      </c>
      <c r="U16" s="1">
        <v>10</v>
      </c>
      <c r="V16" s="45">
        <v>10</v>
      </c>
      <c r="W16" s="15">
        <v>10</v>
      </c>
      <c r="X16" s="15">
        <v>9</v>
      </c>
      <c r="Y16" s="5">
        <f t="shared" si="1"/>
        <v>20</v>
      </c>
      <c r="Z16" s="6">
        <f t="shared" si="2"/>
        <v>199</v>
      </c>
      <c r="AA16" s="1">
        <f t="shared" si="3"/>
        <v>3.3333333333333335</v>
      </c>
    </row>
    <row r="17" spans="2:27" ht="16.95" customHeight="1" x14ac:dyDescent="0.25">
      <c r="B17" s="3">
        <v>10</v>
      </c>
      <c r="C17" s="3" t="s">
        <v>25</v>
      </c>
      <c r="D17" s="4" t="s">
        <v>14</v>
      </c>
      <c r="E17" s="45">
        <v>11</v>
      </c>
      <c r="F17" s="15">
        <v>11</v>
      </c>
      <c r="G17" s="15">
        <v>11</v>
      </c>
      <c r="H17" s="15">
        <v>11</v>
      </c>
      <c r="I17" s="52">
        <v>11</v>
      </c>
      <c r="J17" s="15">
        <v>11</v>
      </c>
      <c r="K17" s="15">
        <v>11</v>
      </c>
      <c r="L17" s="15">
        <v>11</v>
      </c>
      <c r="M17" s="15">
        <v>11</v>
      </c>
      <c r="N17" s="15">
        <v>11</v>
      </c>
      <c r="O17" s="45">
        <v>10</v>
      </c>
      <c r="P17" s="45">
        <v>10</v>
      </c>
      <c r="Q17" s="15">
        <v>10</v>
      </c>
      <c r="R17" s="15">
        <v>10</v>
      </c>
      <c r="S17" s="15">
        <v>10</v>
      </c>
      <c r="T17" s="45">
        <v>10</v>
      </c>
      <c r="U17" s="15">
        <v>10</v>
      </c>
      <c r="V17" s="45">
        <v>10</v>
      </c>
      <c r="W17" s="15">
        <v>10</v>
      </c>
      <c r="X17" s="15">
        <v>10</v>
      </c>
      <c r="Y17" s="5">
        <f t="shared" si="1"/>
        <v>20</v>
      </c>
      <c r="Z17" s="6">
        <f t="shared" si="2"/>
        <v>210</v>
      </c>
      <c r="AA17" s="1">
        <f t="shared" si="3"/>
        <v>3.3333333333333335</v>
      </c>
    </row>
    <row r="18" spans="2:27" ht="16.95" customHeight="1" x14ac:dyDescent="0.25">
      <c r="B18" s="3">
        <v>11</v>
      </c>
      <c r="C18" s="3" t="s">
        <v>26</v>
      </c>
      <c r="D18" s="4" t="s">
        <v>27</v>
      </c>
      <c r="E18" s="45">
        <v>2</v>
      </c>
      <c r="F18" s="15">
        <v>2</v>
      </c>
      <c r="G18" s="15">
        <v>2</v>
      </c>
      <c r="H18" s="15">
        <v>2</v>
      </c>
      <c r="I18" s="52">
        <v>2</v>
      </c>
      <c r="J18" s="15">
        <v>2</v>
      </c>
      <c r="K18" s="15">
        <v>2</v>
      </c>
      <c r="L18" s="15">
        <v>2</v>
      </c>
      <c r="M18" s="15">
        <v>2</v>
      </c>
      <c r="N18" s="15">
        <v>2</v>
      </c>
      <c r="O18" s="45">
        <v>2</v>
      </c>
      <c r="P18" s="45">
        <v>2</v>
      </c>
      <c r="Q18" s="15">
        <v>2</v>
      </c>
      <c r="R18" s="15">
        <v>2</v>
      </c>
      <c r="S18" s="15">
        <v>2</v>
      </c>
      <c r="T18" s="45">
        <v>2</v>
      </c>
      <c r="U18" s="15">
        <v>2</v>
      </c>
      <c r="V18" s="45">
        <v>2</v>
      </c>
      <c r="W18" s="15">
        <v>2</v>
      </c>
      <c r="X18" s="15">
        <v>2</v>
      </c>
      <c r="Y18" s="5">
        <f t="shared" si="1"/>
        <v>20</v>
      </c>
      <c r="Z18" s="6">
        <f t="shared" si="2"/>
        <v>40</v>
      </c>
      <c r="AA18" s="1">
        <f t="shared" si="3"/>
        <v>3.3333333333333335</v>
      </c>
    </row>
    <row r="19" spans="2:27" ht="16.95" customHeight="1" x14ac:dyDescent="0.25">
      <c r="B19" s="3">
        <v>12</v>
      </c>
      <c r="C19" s="3" t="s">
        <v>35</v>
      </c>
      <c r="D19" s="4" t="s">
        <v>14</v>
      </c>
      <c r="E19" s="45">
        <v>7</v>
      </c>
      <c r="F19" s="15">
        <v>8</v>
      </c>
      <c r="G19" s="15">
        <v>8</v>
      </c>
      <c r="H19" s="15">
        <v>8</v>
      </c>
      <c r="I19" s="52">
        <v>8</v>
      </c>
      <c r="J19" s="15">
        <v>8</v>
      </c>
      <c r="K19" s="15">
        <v>8</v>
      </c>
      <c r="L19" s="15">
        <v>8</v>
      </c>
      <c r="M19" s="15">
        <v>8</v>
      </c>
      <c r="N19" s="15">
        <v>8</v>
      </c>
      <c r="O19" s="45">
        <v>8</v>
      </c>
      <c r="P19" s="45">
        <v>8</v>
      </c>
      <c r="Q19" s="15">
        <v>8</v>
      </c>
      <c r="R19" s="15">
        <v>8</v>
      </c>
      <c r="S19" s="15">
        <v>8</v>
      </c>
      <c r="T19" s="45">
        <v>7</v>
      </c>
      <c r="U19" s="15">
        <v>7</v>
      </c>
      <c r="V19" s="45">
        <v>7</v>
      </c>
      <c r="W19" s="15">
        <v>6</v>
      </c>
      <c r="X19" s="15">
        <v>6</v>
      </c>
      <c r="Y19" s="5">
        <f t="shared" si="1"/>
        <v>20</v>
      </c>
      <c r="Z19" s="6">
        <f t="shared" si="2"/>
        <v>152</v>
      </c>
      <c r="AA19" s="1">
        <f>Y19*10/60</f>
        <v>3.3333333333333335</v>
      </c>
    </row>
    <row r="20" spans="2:27" s="27" customFormat="1" ht="12" customHeight="1" thickBot="1" x14ac:dyDescent="0.3">
      <c r="D20" s="28"/>
      <c r="E20" s="29">
        <f t="shared" ref="E20:W20" si="4">SUM(E8:E19)*10/60</f>
        <v>14.333333333333334</v>
      </c>
      <c r="F20" s="29">
        <f t="shared" si="4"/>
        <v>14.333333333333334</v>
      </c>
      <c r="G20" s="29">
        <f t="shared" si="4"/>
        <v>14.333333333333334</v>
      </c>
      <c r="H20" s="29">
        <f t="shared" si="4"/>
        <v>14.166666666666666</v>
      </c>
      <c r="I20" s="29">
        <f t="shared" si="4"/>
        <v>14.333333333333334</v>
      </c>
      <c r="J20" s="29">
        <f t="shared" si="4"/>
        <v>14.333333333333334</v>
      </c>
      <c r="K20" s="29">
        <f t="shared" si="4"/>
        <v>14.666666666666666</v>
      </c>
      <c r="L20" s="29">
        <f t="shared" si="4"/>
        <v>14.166666666666666</v>
      </c>
      <c r="M20" s="29">
        <f t="shared" si="4"/>
        <v>13.833333333333334</v>
      </c>
      <c r="N20" s="29">
        <f t="shared" si="4"/>
        <v>14.166666666666666</v>
      </c>
      <c r="O20" s="29">
        <f>SUM(O8:O19)*10/60</f>
        <v>14.333333333333334</v>
      </c>
      <c r="P20" s="29">
        <f t="shared" si="4"/>
        <v>14.166666666666666</v>
      </c>
      <c r="Q20" s="29">
        <f t="shared" si="4"/>
        <v>14.166666666666666</v>
      </c>
      <c r="R20" s="29">
        <f t="shared" si="4"/>
        <v>14.166666666666666</v>
      </c>
      <c r="S20" s="29">
        <f t="shared" si="4"/>
        <v>14.333333333333334</v>
      </c>
      <c r="T20" s="29">
        <f>SUM(T8:T19)*10/60</f>
        <v>14.166666666666666</v>
      </c>
      <c r="U20" s="29">
        <f>SUM(U8:U19)*10/60</f>
        <v>14.333333333333334</v>
      </c>
      <c r="V20" s="29">
        <f>SUM(V8:V19)*10/60</f>
        <v>14</v>
      </c>
      <c r="W20" s="29">
        <f t="shared" si="4"/>
        <v>13.833333333333334</v>
      </c>
      <c r="X20" s="29">
        <f>SUM(X8:X19)*10/60</f>
        <v>13.833333333333334</v>
      </c>
      <c r="Y20" s="32">
        <f>SUM(E20:U20)</f>
        <v>242.33333333333331</v>
      </c>
      <c r="Z20" s="30"/>
    </row>
    <row r="21" spans="2:27" ht="26.25" customHeight="1" x14ac:dyDescent="0.25">
      <c r="D21" s="7" t="s">
        <v>29</v>
      </c>
      <c r="E21" s="16">
        <f t="shared" ref="E21:W21" si="5">COUNT(E8:E19)</f>
        <v>12</v>
      </c>
      <c r="F21" s="16">
        <f t="shared" si="5"/>
        <v>12</v>
      </c>
      <c r="G21" s="16">
        <f t="shared" si="5"/>
        <v>12</v>
      </c>
      <c r="H21" s="16">
        <f t="shared" si="5"/>
        <v>12</v>
      </c>
      <c r="I21" s="16">
        <f t="shared" si="5"/>
        <v>12</v>
      </c>
      <c r="J21" s="16">
        <f t="shared" si="5"/>
        <v>12</v>
      </c>
      <c r="K21" s="16">
        <f t="shared" si="5"/>
        <v>12</v>
      </c>
      <c r="L21" s="16">
        <f t="shared" si="5"/>
        <v>12</v>
      </c>
      <c r="M21" s="16">
        <f t="shared" si="5"/>
        <v>12</v>
      </c>
      <c r="N21" s="16">
        <f t="shared" si="5"/>
        <v>12</v>
      </c>
      <c r="O21" s="16">
        <f>COUNT(O8:O19)</f>
        <v>12</v>
      </c>
      <c r="P21" s="16">
        <f t="shared" si="5"/>
        <v>12</v>
      </c>
      <c r="Q21" s="16">
        <f t="shared" si="5"/>
        <v>12</v>
      </c>
      <c r="R21" s="16">
        <f t="shared" si="5"/>
        <v>12</v>
      </c>
      <c r="S21" s="16">
        <f t="shared" si="5"/>
        <v>12</v>
      </c>
      <c r="T21" s="16">
        <f>COUNT(T8:T19)</f>
        <v>12</v>
      </c>
      <c r="U21" s="16">
        <f>COUNT(U8:U19)</f>
        <v>12</v>
      </c>
      <c r="V21" s="16">
        <f>COUNT(V8:V19)</f>
        <v>12</v>
      </c>
      <c r="W21" s="16">
        <f t="shared" si="5"/>
        <v>12</v>
      </c>
      <c r="X21" s="16">
        <f>COUNT(X8:X19)</f>
        <v>12</v>
      </c>
      <c r="Y21" s="24" t="s">
        <v>30</v>
      </c>
      <c r="Z21" s="8" t="s">
        <v>30</v>
      </c>
    </row>
    <row r="22" spans="2:27" ht="28.5" customHeight="1" x14ac:dyDescent="0.25">
      <c r="D22" s="9" t="s">
        <v>31</v>
      </c>
      <c r="E22" s="17">
        <f t="shared" ref="E22:W22" si="6">COUNT(E8:E19)</f>
        <v>12</v>
      </c>
      <c r="F22" s="17">
        <f t="shared" si="6"/>
        <v>12</v>
      </c>
      <c r="G22" s="17">
        <f t="shared" si="6"/>
        <v>12</v>
      </c>
      <c r="H22" s="17">
        <f t="shared" si="6"/>
        <v>12</v>
      </c>
      <c r="I22" s="17">
        <f t="shared" si="6"/>
        <v>12</v>
      </c>
      <c r="J22" s="17">
        <f t="shared" si="6"/>
        <v>12</v>
      </c>
      <c r="K22" s="17">
        <f t="shared" si="6"/>
        <v>12</v>
      </c>
      <c r="L22" s="17">
        <f t="shared" si="6"/>
        <v>12</v>
      </c>
      <c r="M22" s="17">
        <f t="shared" si="6"/>
        <v>12</v>
      </c>
      <c r="N22" s="17">
        <f t="shared" si="6"/>
        <v>12</v>
      </c>
      <c r="O22" s="17">
        <f>COUNT(O8:O19)</f>
        <v>12</v>
      </c>
      <c r="P22" s="17">
        <f t="shared" si="6"/>
        <v>12</v>
      </c>
      <c r="Q22" s="17">
        <f t="shared" si="6"/>
        <v>12</v>
      </c>
      <c r="R22" s="17">
        <f t="shared" si="6"/>
        <v>12</v>
      </c>
      <c r="S22" s="17">
        <f t="shared" si="6"/>
        <v>12</v>
      </c>
      <c r="T22" s="17">
        <f>COUNT(T8:T19)</f>
        <v>12</v>
      </c>
      <c r="U22" s="17">
        <f>COUNT(U8:U19)</f>
        <v>12</v>
      </c>
      <c r="V22" s="17">
        <f>COUNT(V8:V19)</f>
        <v>12</v>
      </c>
      <c r="W22" s="17">
        <f t="shared" si="6"/>
        <v>12</v>
      </c>
      <c r="X22" s="17">
        <f>COUNT(X8:X19)</f>
        <v>12</v>
      </c>
      <c r="Y22" s="25" t="s">
        <v>30</v>
      </c>
      <c r="Z22" s="10">
        <f>SUM(E22:X22)</f>
        <v>240</v>
      </c>
    </row>
    <row r="23" spans="2:27" ht="23.25" customHeight="1" x14ac:dyDescent="0.25">
      <c r="D23" s="9" t="s">
        <v>32</v>
      </c>
      <c r="E23" s="18">
        <f t="shared" ref="E23:W23" si="7">SUM(E8:E19)</f>
        <v>86</v>
      </c>
      <c r="F23" s="18">
        <f t="shared" si="7"/>
        <v>86</v>
      </c>
      <c r="G23" s="18">
        <f t="shared" si="7"/>
        <v>86</v>
      </c>
      <c r="H23" s="18">
        <f t="shared" si="7"/>
        <v>85</v>
      </c>
      <c r="I23" s="18">
        <f t="shared" si="7"/>
        <v>86</v>
      </c>
      <c r="J23" s="18">
        <f t="shared" si="7"/>
        <v>86</v>
      </c>
      <c r="K23" s="18">
        <f t="shared" si="7"/>
        <v>88</v>
      </c>
      <c r="L23" s="18">
        <f t="shared" si="7"/>
        <v>85</v>
      </c>
      <c r="M23" s="18">
        <f t="shared" si="7"/>
        <v>83</v>
      </c>
      <c r="N23" s="18">
        <f t="shared" si="7"/>
        <v>85</v>
      </c>
      <c r="O23" s="18">
        <f>SUM(O8:O19)</f>
        <v>86</v>
      </c>
      <c r="P23" s="18">
        <f t="shared" si="7"/>
        <v>85</v>
      </c>
      <c r="Q23" s="18">
        <f t="shared" si="7"/>
        <v>85</v>
      </c>
      <c r="R23" s="18">
        <f t="shared" si="7"/>
        <v>85</v>
      </c>
      <c r="S23" s="18">
        <f t="shared" si="7"/>
        <v>86</v>
      </c>
      <c r="T23" s="18">
        <f>SUM(T8:T19)</f>
        <v>85</v>
      </c>
      <c r="U23" s="18">
        <f>SUM(U8:U19)</f>
        <v>86</v>
      </c>
      <c r="V23" s="18">
        <f>SUM(V8:V19)</f>
        <v>84</v>
      </c>
      <c r="W23" s="18">
        <f t="shared" si="7"/>
        <v>83</v>
      </c>
      <c r="X23" s="18">
        <f>SUM(X8:X19)</f>
        <v>83</v>
      </c>
      <c r="Y23" s="25" t="s">
        <v>30</v>
      </c>
      <c r="Z23" s="11">
        <f>SUM(E23:X23)</f>
        <v>1704</v>
      </c>
    </row>
    <row r="24" spans="2:27" ht="23.25" customHeight="1" thickBot="1" x14ac:dyDescent="0.3">
      <c r="D24" s="12" t="s">
        <v>33</v>
      </c>
      <c r="E24" s="19">
        <f t="shared" ref="E24:X24" si="8">E22*10/60</f>
        <v>2</v>
      </c>
      <c r="F24" s="19">
        <f t="shared" si="8"/>
        <v>2</v>
      </c>
      <c r="G24" s="19">
        <f t="shared" si="8"/>
        <v>2</v>
      </c>
      <c r="H24" s="19">
        <f t="shared" si="8"/>
        <v>2</v>
      </c>
      <c r="I24" s="19">
        <f t="shared" si="8"/>
        <v>2</v>
      </c>
      <c r="J24" s="19">
        <f t="shared" si="8"/>
        <v>2</v>
      </c>
      <c r="K24" s="19">
        <f t="shared" si="8"/>
        <v>2</v>
      </c>
      <c r="L24" s="19">
        <f t="shared" si="8"/>
        <v>2</v>
      </c>
      <c r="M24" s="19">
        <f t="shared" si="8"/>
        <v>2</v>
      </c>
      <c r="N24" s="19">
        <f t="shared" si="8"/>
        <v>2</v>
      </c>
      <c r="O24" s="19">
        <f t="shared" si="8"/>
        <v>2</v>
      </c>
      <c r="P24" s="19">
        <f t="shared" si="8"/>
        <v>2</v>
      </c>
      <c r="Q24" s="19">
        <f t="shared" si="8"/>
        <v>2</v>
      </c>
      <c r="R24" s="19">
        <f t="shared" si="8"/>
        <v>2</v>
      </c>
      <c r="S24" s="19">
        <f t="shared" si="8"/>
        <v>2</v>
      </c>
      <c r="T24" s="19">
        <f t="shared" si="8"/>
        <v>2</v>
      </c>
      <c r="U24" s="19">
        <f t="shared" si="8"/>
        <v>2</v>
      </c>
      <c r="V24" s="19">
        <f t="shared" si="8"/>
        <v>2</v>
      </c>
      <c r="W24" s="19">
        <f t="shared" si="8"/>
        <v>2</v>
      </c>
      <c r="X24" s="19">
        <f t="shared" si="8"/>
        <v>2</v>
      </c>
      <c r="Y24" s="26"/>
      <c r="Z24" s="13">
        <f>SUM(E24:X24)</f>
        <v>40</v>
      </c>
    </row>
  </sheetData>
  <mergeCells count="6">
    <mergeCell ref="B2:C6"/>
    <mergeCell ref="D2:Z2"/>
    <mergeCell ref="D4:Z4"/>
    <mergeCell ref="D5:D6"/>
    <mergeCell ref="Y5:Y7"/>
    <mergeCell ref="Z5:Z7"/>
  </mergeCells>
  <pageMargins left="0.7" right="0.7" top="0.75" bottom="0.75" header="0.3" footer="0.3"/>
  <pageSetup scale="28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BF1F-FB55-44C6-8B00-67A07D5C4EC6}">
  <sheetPr>
    <pageSetUpPr fitToPage="1"/>
  </sheetPr>
  <dimension ref="B1:AA24"/>
  <sheetViews>
    <sheetView showGridLines="0" tabSelected="1" zoomScale="96" zoomScaleNormal="96" workbookViewId="0">
      <pane ySplit="7" topLeftCell="A8" activePane="bottomLeft" state="frozen"/>
      <selection pane="bottomLeft" activeCell="D9" sqref="D9"/>
    </sheetView>
  </sheetViews>
  <sheetFormatPr defaultColWidth="15" defaultRowHeight="18.75" customHeight="1" x14ac:dyDescent="0.25"/>
  <cols>
    <col min="1" max="1" width="1" style="1" customWidth="1"/>
    <col min="2" max="2" width="5.109375" style="1" customWidth="1"/>
    <col min="3" max="3" width="23.44140625" style="1" customWidth="1"/>
    <col min="4" max="4" width="28.77734375" style="1" customWidth="1"/>
    <col min="5" max="11" width="15.6640625" style="1" bestFit="1" customWidth="1"/>
    <col min="12" max="13" width="15.6640625" style="1" customWidth="1"/>
    <col min="14" max="19" width="15.6640625" style="1" bestFit="1" customWidth="1"/>
    <col min="20" max="24" width="15.6640625" style="1" customWidth="1"/>
    <col min="25" max="25" width="13.77734375" style="2" customWidth="1"/>
    <col min="26" max="26" width="6.77734375" style="1" customWidth="1"/>
    <col min="27" max="27" width="6.109375" style="1" customWidth="1"/>
    <col min="28" max="28" width="4.77734375" style="1" customWidth="1"/>
    <col min="29" max="29" width="3.77734375" style="1" customWidth="1"/>
    <col min="30" max="30" width="5.77734375" style="1" customWidth="1"/>
    <col min="31" max="31" width="8.109375" style="1" customWidth="1"/>
    <col min="32" max="32" width="7" style="1" customWidth="1"/>
    <col min="33" max="16384" width="15" style="1"/>
  </cols>
  <sheetData>
    <row r="1" spans="2:27" ht="4.5" customHeight="1" x14ac:dyDescent="0.25"/>
    <row r="2" spans="2:27" s="42" customFormat="1" ht="16.2" customHeight="1" x14ac:dyDescent="0.25">
      <c r="B2" s="59"/>
      <c r="C2" s="59"/>
      <c r="D2" s="60" t="s">
        <v>34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2"/>
    </row>
    <row r="3" spans="2:27" s="41" customFormat="1" ht="15.6" customHeight="1" x14ac:dyDescent="0.25">
      <c r="B3" s="59"/>
      <c r="C3" s="59"/>
      <c r="D3" s="37"/>
      <c r="E3" s="44" t="str">
        <f>"SEMANA 01: " &amp; SUM(E8:I19)</f>
        <v>SEMANA 01: 421</v>
      </c>
      <c r="F3" s="38"/>
      <c r="G3" s="38"/>
      <c r="H3" s="38"/>
      <c r="I3" s="43"/>
      <c r="J3" s="44" t="str">
        <f>"SEMANA 02: " &amp; SUM(J8:N19)</f>
        <v>SEMANA 02: 409</v>
      </c>
      <c r="K3" s="38"/>
      <c r="L3" s="38"/>
      <c r="M3" s="38"/>
      <c r="N3" s="43"/>
      <c r="Q3" s="44" t="str">
        <f>"SEMANA 03: "&amp;SUM(O8:S19)</f>
        <v>SEMANA 03: 427</v>
      </c>
      <c r="R3" s="39"/>
      <c r="S3" s="40"/>
      <c r="T3" s="39"/>
      <c r="V3" s="44" t="str">
        <f>"SEMANA 04: "&amp;SUM(T8:X19)</f>
        <v>SEMANA 04: 229</v>
      </c>
      <c r="X3" s="40"/>
      <c r="Y3" s="39"/>
      <c r="Z3" s="40"/>
    </row>
    <row r="4" spans="2:27" ht="11.25" customHeight="1" x14ac:dyDescent="0.25">
      <c r="B4" s="59"/>
      <c r="C4" s="59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2:27" ht="12.75" customHeight="1" x14ac:dyDescent="0.25">
      <c r="B5" s="59"/>
      <c r="C5" s="59"/>
      <c r="D5" s="66" t="s">
        <v>2</v>
      </c>
      <c r="E5" s="23">
        <v>46237</v>
      </c>
      <c r="F5" s="23">
        <v>46238</v>
      </c>
      <c r="G5" s="23">
        <v>46239</v>
      </c>
      <c r="H5" s="23">
        <v>46240</v>
      </c>
      <c r="I5" s="23">
        <v>46241</v>
      </c>
      <c r="J5" s="23">
        <v>46244</v>
      </c>
      <c r="K5" s="23">
        <v>46245</v>
      </c>
      <c r="L5" s="23">
        <v>46246</v>
      </c>
      <c r="M5" s="23">
        <v>46247</v>
      </c>
      <c r="N5" s="23">
        <v>46248</v>
      </c>
      <c r="O5" s="23">
        <v>46251</v>
      </c>
      <c r="P5" s="23">
        <v>46252</v>
      </c>
      <c r="Q5" s="23">
        <v>46253</v>
      </c>
      <c r="R5" s="23">
        <v>46254</v>
      </c>
      <c r="S5" s="23">
        <v>46255</v>
      </c>
      <c r="T5" s="23">
        <v>46258</v>
      </c>
      <c r="U5" s="23">
        <v>46259</v>
      </c>
      <c r="V5" s="23">
        <v>46260</v>
      </c>
      <c r="W5" s="23">
        <v>46261</v>
      </c>
      <c r="X5" s="23">
        <v>46262</v>
      </c>
      <c r="Y5" s="67" t="s">
        <v>3</v>
      </c>
      <c r="Z5" s="70" t="s">
        <v>4</v>
      </c>
    </row>
    <row r="6" spans="2:27" ht="15" customHeight="1" x14ac:dyDescent="0.25">
      <c r="B6" s="59"/>
      <c r="C6" s="59"/>
      <c r="D6" s="66"/>
      <c r="E6" s="14">
        <f t="shared" ref="E6:X6" si="0">E5</f>
        <v>46237</v>
      </c>
      <c r="F6" s="14">
        <f t="shared" si="0"/>
        <v>46238</v>
      </c>
      <c r="G6" s="14">
        <f t="shared" si="0"/>
        <v>46239</v>
      </c>
      <c r="H6" s="14">
        <f t="shared" si="0"/>
        <v>46240</v>
      </c>
      <c r="I6" s="14">
        <f t="shared" si="0"/>
        <v>46241</v>
      </c>
      <c r="J6" s="14">
        <f t="shared" si="0"/>
        <v>46244</v>
      </c>
      <c r="K6" s="14">
        <f t="shared" si="0"/>
        <v>46245</v>
      </c>
      <c r="L6" s="14">
        <f t="shared" si="0"/>
        <v>46246</v>
      </c>
      <c r="M6" s="14">
        <f t="shared" si="0"/>
        <v>46247</v>
      </c>
      <c r="N6" s="14">
        <f t="shared" si="0"/>
        <v>46248</v>
      </c>
      <c r="O6" s="14">
        <f t="shared" si="0"/>
        <v>46251</v>
      </c>
      <c r="P6" s="14">
        <f t="shared" si="0"/>
        <v>46252</v>
      </c>
      <c r="Q6" s="14">
        <f t="shared" si="0"/>
        <v>46253</v>
      </c>
      <c r="R6" s="14">
        <f t="shared" si="0"/>
        <v>46254</v>
      </c>
      <c r="S6" s="14">
        <f t="shared" si="0"/>
        <v>46255</v>
      </c>
      <c r="T6" s="14">
        <f t="shared" si="0"/>
        <v>46258</v>
      </c>
      <c r="U6" s="14">
        <f t="shared" si="0"/>
        <v>46259</v>
      </c>
      <c r="V6" s="14">
        <f t="shared" si="0"/>
        <v>46260</v>
      </c>
      <c r="W6" s="14">
        <f t="shared" si="0"/>
        <v>46261</v>
      </c>
      <c r="X6" s="14">
        <f t="shared" si="0"/>
        <v>46262</v>
      </c>
      <c r="Y6" s="68"/>
      <c r="Z6" s="71"/>
    </row>
    <row r="7" spans="2:27" ht="14.25" customHeight="1" x14ac:dyDescent="0.25">
      <c r="B7" s="20" t="s">
        <v>5</v>
      </c>
      <c r="C7" s="20" t="s">
        <v>6</v>
      </c>
      <c r="D7" s="20" t="s">
        <v>7</v>
      </c>
      <c r="E7" s="21" t="s">
        <v>8</v>
      </c>
      <c r="F7" s="21" t="s">
        <v>8</v>
      </c>
      <c r="G7" s="21" t="s">
        <v>8</v>
      </c>
      <c r="H7" s="21" t="s">
        <v>8</v>
      </c>
      <c r="I7" s="21" t="s">
        <v>8</v>
      </c>
      <c r="J7" s="21" t="s">
        <v>8</v>
      </c>
      <c r="K7" s="21" t="s">
        <v>8</v>
      </c>
      <c r="L7" s="21" t="s">
        <v>8</v>
      </c>
      <c r="M7" s="21" t="s">
        <v>8</v>
      </c>
      <c r="N7" s="21" t="s">
        <v>8</v>
      </c>
      <c r="O7" s="21" t="s">
        <v>8</v>
      </c>
      <c r="P7" s="21" t="s">
        <v>8</v>
      </c>
      <c r="Q7" s="21" t="s">
        <v>8</v>
      </c>
      <c r="R7" s="21" t="s">
        <v>8</v>
      </c>
      <c r="S7" s="21" t="s">
        <v>8</v>
      </c>
      <c r="T7" s="21" t="s">
        <v>8</v>
      </c>
      <c r="U7" s="21" t="s">
        <v>8</v>
      </c>
      <c r="V7" s="21" t="s">
        <v>8</v>
      </c>
      <c r="W7" s="21" t="s">
        <v>8</v>
      </c>
      <c r="X7" s="21" t="s">
        <v>8</v>
      </c>
      <c r="Y7" s="69"/>
      <c r="Z7" s="72"/>
    </row>
    <row r="8" spans="2:27" ht="16.95" customHeight="1" x14ac:dyDescent="0.25">
      <c r="B8" s="3">
        <v>1</v>
      </c>
      <c r="C8" s="3" t="s">
        <v>9</v>
      </c>
      <c r="D8" s="4" t="s">
        <v>10</v>
      </c>
      <c r="E8" s="45">
        <v>2</v>
      </c>
      <c r="F8" s="15">
        <v>2</v>
      </c>
      <c r="G8" s="15">
        <v>2</v>
      </c>
      <c r="H8" s="15">
        <v>2</v>
      </c>
      <c r="I8" s="52">
        <v>2</v>
      </c>
      <c r="J8" s="15">
        <v>2</v>
      </c>
      <c r="K8" s="15">
        <v>2</v>
      </c>
      <c r="L8" s="15">
        <v>2</v>
      </c>
      <c r="M8" s="15">
        <v>2</v>
      </c>
      <c r="N8" s="15">
        <v>2</v>
      </c>
      <c r="O8" s="45">
        <v>2</v>
      </c>
      <c r="P8" s="45">
        <v>2</v>
      </c>
      <c r="Q8" s="15">
        <v>2</v>
      </c>
      <c r="R8" s="15">
        <v>2</v>
      </c>
      <c r="S8" s="15">
        <v>2</v>
      </c>
      <c r="T8" s="15">
        <v>2</v>
      </c>
      <c r="U8" s="15">
        <v>2</v>
      </c>
      <c r="V8" s="15">
        <v>2</v>
      </c>
      <c r="W8" s="15">
        <v>2</v>
      </c>
      <c r="X8" s="15">
        <v>2</v>
      </c>
      <c r="Y8" s="5">
        <f t="shared" ref="Y8:Y19" si="1">COUNTA(E8:X8)</f>
        <v>20</v>
      </c>
      <c r="Z8" s="6">
        <f t="shared" ref="Z8:Z19" si="2">SUM(E8:X8)</f>
        <v>40</v>
      </c>
      <c r="AA8" s="1">
        <f>Y8*10/60</f>
        <v>3.3333333333333335</v>
      </c>
    </row>
    <row r="9" spans="2:27" ht="16.95" customHeight="1" x14ac:dyDescent="0.25">
      <c r="B9" s="3">
        <v>2</v>
      </c>
      <c r="C9" s="3" t="s">
        <v>11</v>
      </c>
      <c r="D9" s="4" t="s">
        <v>12</v>
      </c>
      <c r="E9" s="45">
        <v>6</v>
      </c>
      <c r="F9" s="15">
        <v>7</v>
      </c>
      <c r="G9" s="15">
        <v>6</v>
      </c>
      <c r="H9" s="15">
        <v>7</v>
      </c>
      <c r="I9" s="52">
        <v>6</v>
      </c>
      <c r="J9" s="15">
        <v>6</v>
      </c>
      <c r="K9" s="15">
        <v>7</v>
      </c>
      <c r="L9" s="15">
        <v>6</v>
      </c>
      <c r="M9" s="15">
        <v>7</v>
      </c>
      <c r="N9" s="15">
        <v>6</v>
      </c>
      <c r="O9" s="45">
        <v>7</v>
      </c>
      <c r="P9" s="45">
        <v>6</v>
      </c>
      <c r="Q9" s="15">
        <v>7</v>
      </c>
      <c r="R9" s="15">
        <v>6</v>
      </c>
      <c r="S9" s="15">
        <v>7</v>
      </c>
      <c r="T9" s="15"/>
      <c r="U9" s="15"/>
      <c r="V9" s="15"/>
      <c r="W9" s="15"/>
      <c r="X9" s="15"/>
      <c r="Y9" s="5">
        <f t="shared" si="1"/>
        <v>15</v>
      </c>
      <c r="Z9" s="6">
        <f t="shared" si="2"/>
        <v>97</v>
      </c>
      <c r="AA9" s="1">
        <f t="shared" ref="AA9:AA18" si="3">Y9*10/60</f>
        <v>2.5</v>
      </c>
    </row>
    <row r="10" spans="2:27" ht="16.95" customHeight="1" x14ac:dyDescent="0.25">
      <c r="B10" s="3">
        <v>3</v>
      </c>
      <c r="C10" s="3" t="s">
        <v>13</v>
      </c>
      <c r="D10" s="4" t="s">
        <v>14</v>
      </c>
      <c r="E10" s="45">
        <v>12</v>
      </c>
      <c r="F10" s="15">
        <v>12</v>
      </c>
      <c r="G10" s="15">
        <v>12</v>
      </c>
      <c r="H10" s="15">
        <v>12</v>
      </c>
      <c r="I10" s="52">
        <v>12</v>
      </c>
      <c r="J10" s="15">
        <v>12</v>
      </c>
      <c r="K10" s="15">
        <v>12</v>
      </c>
      <c r="L10" s="15">
        <v>12</v>
      </c>
      <c r="M10" s="15">
        <v>12</v>
      </c>
      <c r="N10" s="15">
        <v>12</v>
      </c>
      <c r="O10" s="45">
        <v>12</v>
      </c>
      <c r="P10" s="45">
        <v>12</v>
      </c>
      <c r="Q10" s="15">
        <v>12</v>
      </c>
      <c r="R10" s="15">
        <v>12</v>
      </c>
      <c r="S10" s="15">
        <v>12</v>
      </c>
      <c r="T10" s="15">
        <v>12</v>
      </c>
      <c r="U10" s="15">
        <v>12</v>
      </c>
      <c r="V10" s="15">
        <v>12</v>
      </c>
      <c r="W10" s="15">
        <v>12</v>
      </c>
      <c r="X10" s="15">
        <v>12</v>
      </c>
      <c r="Y10" s="5">
        <f t="shared" si="1"/>
        <v>20</v>
      </c>
      <c r="Z10" s="6">
        <f t="shared" si="2"/>
        <v>240</v>
      </c>
      <c r="AA10" s="1">
        <f t="shared" si="3"/>
        <v>3.3333333333333335</v>
      </c>
    </row>
    <row r="11" spans="2:27" ht="16.95" customHeight="1" x14ac:dyDescent="0.25">
      <c r="B11" s="3">
        <v>4</v>
      </c>
      <c r="C11" s="3" t="s">
        <v>15</v>
      </c>
      <c r="D11" s="4" t="s">
        <v>16</v>
      </c>
      <c r="E11" s="45">
        <v>6</v>
      </c>
      <c r="F11" s="15">
        <v>6</v>
      </c>
      <c r="G11" s="15">
        <v>6</v>
      </c>
      <c r="H11" s="15">
        <v>6</v>
      </c>
      <c r="I11" s="52">
        <v>6</v>
      </c>
      <c r="J11" s="15">
        <v>6</v>
      </c>
      <c r="K11" s="15">
        <v>6</v>
      </c>
      <c r="L11" s="15">
        <v>6</v>
      </c>
      <c r="M11" s="15">
        <v>6</v>
      </c>
      <c r="N11" s="15">
        <v>6</v>
      </c>
      <c r="O11" s="1">
        <v>7</v>
      </c>
      <c r="P11" s="45">
        <v>7</v>
      </c>
      <c r="Q11" s="15">
        <v>7</v>
      </c>
      <c r="R11" s="1">
        <v>7</v>
      </c>
      <c r="S11" s="15">
        <v>6</v>
      </c>
      <c r="T11" s="15"/>
      <c r="U11" s="15"/>
      <c r="V11" s="15"/>
      <c r="W11" s="15"/>
      <c r="X11" s="15"/>
      <c r="Y11" s="5">
        <f t="shared" si="1"/>
        <v>15</v>
      </c>
      <c r="Z11" s="6">
        <f t="shared" si="2"/>
        <v>94</v>
      </c>
      <c r="AA11" s="1">
        <f t="shared" si="3"/>
        <v>2.5</v>
      </c>
    </row>
    <row r="12" spans="2:27" ht="16.95" customHeight="1" x14ac:dyDescent="0.25">
      <c r="B12" s="3">
        <v>5</v>
      </c>
      <c r="C12" s="3" t="s">
        <v>17</v>
      </c>
      <c r="D12" s="4" t="s">
        <v>18</v>
      </c>
      <c r="E12" s="45">
        <v>6</v>
      </c>
      <c r="F12" s="15">
        <v>6</v>
      </c>
      <c r="G12" s="15">
        <v>6</v>
      </c>
      <c r="H12" s="15">
        <v>6</v>
      </c>
      <c r="I12" s="52">
        <v>6</v>
      </c>
      <c r="J12" s="15">
        <v>4</v>
      </c>
      <c r="K12" s="15">
        <v>5</v>
      </c>
      <c r="L12" s="15">
        <v>5</v>
      </c>
      <c r="M12" s="15">
        <v>5</v>
      </c>
      <c r="N12" s="15">
        <v>5</v>
      </c>
      <c r="O12" s="45">
        <v>6</v>
      </c>
      <c r="P12" s="45">
        <v>6</v>
      </c>
      <c r="Q12" s="15">
        <v>6</v>
      </c>
      <c r="R12" s="15">
        <v>6</v>
      </c>
      <c r="S12" s="15">
        <v>5</v>
      </c>
      <c r="T12" s="15"/>
      <c r="U12" s="15"/>
      <c r="V12" s="15"/>
      <c r="W12" s="15"/>
      <c r="Y12" s="5">
        <f t="shared" si="1"/>
        <v>15</v>
      </c>
      <c r="Z12" s="6">
        <f t="shared" si="2"/>
        <v>83</v>
      </c>
      <c r="AA12" s="1">
        <f t="shared" si="3"/>
        <v>2.5</v>
      </c>
    </row>
    <row r="13" spans="2:27" s="49" customFormat="1" ht="16.95" customHeight="1" x14ac:dyDescent="0.25">
      <c r="B13" s="46">
        <v>6</v>
      </c>
      <c r="C13" s="46" t="s">
        <v>19</v>
      </c>
      <c r="D13" s="47" t="s">
        <v>14</v>
      </c>
      <c r="E13" s="45">
        <v>9</v>
      </c>
      <c r="F13" s="15">
        <v>9</v>
      </c>
      <c r="G13" s="15">
        <v>8</v>
      </c>
      <c r="H13" s="15">
        <v>8</v>
      </c>
      <c r="I13" s="52">
        <v>9</v>
      </c>
      <c r="J13" s="15">
        <v>9</v>
      </c>
      <c r="K13" s="15">
        <v>9</v>
      </c>
      <c r="L13" s="15">
        <v>9</v>
      </c>
      <c r="M13" s="15">
        <v>8</v>
      </c>
      <c r="N13" s="15">
        <v>9</v>
      </c>
      <c r="O13" s="45">
        <v>9</v>
      </c>
      <c r="P13" s="45">
        <v>9</v>
      </c>
      <c r="Q13" s="15">
        <v>8</v>
      </c>
      <c r="R13" s="15">
        <v>9</v>
      </c>
      <c r="S13" s="1">
        <v>9</v>
      </c>
      <c r="T13" s="15">
        <v>11</v>
      </c>
      <c r="U13" s="1">
        <v>11</v>
      </c>
      <c r="V13" s="15">
        <v>9</v>
      </c>
      <c r="W13" s="1">
        <v>9</v>
      </c>
      <c r="X13" s="15">
        <v>9</v>
      </c>
      <c r="Y13" s="5">
        <f t="shared" si="1"/>
        <v>20</v>
      </c>
      <c r="Z13" s="6">
        <f t="shared" si="2"/>
        <v>180</v>
      </c>
      <c r="AA13" s="1">
        <f t="shared" si="3"/>
        <v>3.3333333333333335</v>
      </c>
    </row>
    <row r="14" spans="2:27" ht="16.95" customHeight="1" x14ac:dyDescent="0.25">
      <c r="B14" s="3">
        <v>7</v>
      </c>
      <c r="C14" s="3" t="s">
        <v>20</v>
      </c>
      <c r="D14" s="4" t="s">
        <v>21</v>
      </c>
      <c r="E14" s="45">
        <v>8</v>
      </c>
      <c r="F14" s="15">
        <v>9</v>
      </c>
      <c r="G14" s="15">
        <v>9</v>
      </c>
      <c r="H14" s="15">
        <v>9</v>
      </c>
      <c r="I14" s="52">
        <v>8</v>
      </c>
      <c r="J14" s="15">
        <v>8</v>
      </c>
      <c r="K14" s="15">
        <v>9</v>
      </c>
      <c r="L14" s="15">
        <v>9</v>
      </c>
      <c r="M14" s="15">
        <v>9</v>
      </c>
      <c r="N14" s="15">
        <v>9</v>
      </c>
      <c r="O14" s="45">
        <v>9</v>
      </c>
      <c r="P14" s="45">
        <v>9</v>
      </c>
      <c r="Q14" s="15">
        <v>9</v>
      </c>
      <c r="R14" s="15">
        <v>9</v>
      </c>
      <c r="S14" s="15">
        <v>9</v>
      </c>
      <c r="U14" s="15"/>
      <c r="W14" s="15"/>
      <c r="X14" s="15"/>
      <c r="Y14" s="5">
        <f t="shared" si="1"/>
        <v>15</v>
      </c>
      <c r="Z14" s="6">
        <f t="shared" si="2"/>
        <v>132</v>
      </c>
      <c r="AA14" s="1">
        <f t="shared" si="3"/>
        <v>2.5</v>
      </c>
    </row>
    <row r="15" spans="2:27" ht="16.95" customHeight="1" x14ac:dyDescent="0.25">
      <c r="B15" s="3">
        <v>8</v>
      </c>
      <c r="C15" s="3" t="s">
        <v>22</v>
      </c>
      <c r="D15" s="4" t="s">
        <v>23</v>
      </c>
      <c r="E15" s="45">
        <v>5</v>
      </c>
      <c r="F15" s="15">
        <v>5</v>
      </c>
      <c r="G15" s="15">
        <v>5</v>
      </c>
      <c r="H15" s="15">
        <v>5</v>
      </c>
      <c r="I15" s="52">
        <v>5</v>
      </c>
      <c r="J15" s="15">
        <v>4</v>
      </c>
      <c r="K15" s="15">
        <v>5</v>
      </c>
      <c r="L15" s="15">
        <v>4</v>
      </c>
      <c r="M15" s="15">
        <v>4</v>
      </c>
      <c r="N15" s="15">
        <v>3</v>
      </c>
      <c r="O15" s="45">
        <v>5</v>
      </c>
      <c r="P15" s="45">
        <v>5</v>
      </c>
      <c r="Q15" s="15">
        <v>5</v>
      </c>
      <c r="R15" s="15">
        <v>5</v>
      </c>
      <c r="S15" s="15">
        <v>5</v>
      </c>
      <c r="T15" s="15"/>
      <c r="U15" s="15"/>
      <c r="V15" s="15"/>
      <c r="W15" s="15"/>
      <c r="X15" s="15"/>
      <c r="Y15" s="5">
        <f t="shared" si="1"/>
        <v>15</v>
      </c>
      <c r="Z15" s="6">
        <f t="shared" si="2"/>
        <v>70</v>
      </c>
      <c r="AA15" s="1">
        <f t="shared" si="3"/>
        <v>2.5</v>
      </c>
    </row>
    <row r="16" spans="2:27" ht="16.95" customHeight="1" x14ac:dyDescent="0.25">
      <c r="B16" s="3">
        <v>9</v>
      </c>
      <c r="C16" s="3" t="s">
        <v>24</v>
      </c>
      <c r="D16" s="4" t="s">
        <v>14</v>
      </c>
      <c r="E16" s="45">
        <v>10</v>
      </c>
      <c r="F16" s="15">
        <v>10</v>
      </c>
      <c r="G16" s="15">
        <v>10</v>
      </c>
      <c r="H16" s="15">
        <v>10</v>
      </c>
      <c r="I16" s="52">
        <v>8</v>
      </c>
      <c r="J16" s="15">
        <v>9</v>
      </c>
      <c r="K16" s="15">
        <v>10</v>
      </c>
      <c r="L16" s="15">
        <v>10</v>
      </c>
      <c r="M16" s="1">
        <v>10</v>
      </c>
      <c r="N16" s="15">
        <v>10</v>
      </c>
      <c r="O16" s="45">
        <v>10</v>
      </c>
      <c r="P16" s="45">
        <v>10</v>
      </c>
      <c r="Q16" s="15">
        <v>10</v>
      </c>
      <c r="R16" s="15">
        <v>10</v>
      </c>
      <c r="S16" s="15">
        <v>9</v>
      </c>
      <c r="T16" s="15">
        <v>10</v>
      </c>
      <c r="U16" s="15">
        <v>10</v>
      </c>
      <c r="V16" s="15">
        <v>10</v>
      </c>
      <c r="W16" s="15">
        <v>10</v>
      </c>
      <c r="X16" s="15">
        <v>10</v>
      </c>
      <c r="Y16" s="5">
        <f t="shared" si="1"/>
        <v>20</v>
      </c>
      <c r="Z16" s="6">
        <f t="shared" si="2"/>
        <v>196</v>
      </c>
      <c r="AA16" s="1">
        <f t="shared" si="3"/>
        <v>3.3333333333333335</v>
      </c>
    </row>
    <row r="17" spans="2:27" ht="16.95" customHeight="1" x14ac:dyDescent="0.25">
      <c r="B17" s="3">
        <v>10</v>
      </c>
      <c r="C17" s="3" t="s">
        <v>25</v>
      </c>
      <c r="D17" s="4" t="s">
        <v>14</v>
      </c>
      <c r="E17" s="45">
        <v>10</v>
      </c>
      <c r="F17" s="15">
        <v>10</v>
      </c>
      <c r="G17" s="15">
        <v>10</v>
      </c>
      <c r="H17" s="15">
        <v>10</v>
      </c>
      <c r="I17" s="52">
        <v>10</v>
      </c>
      <c r="J17" s="15">
        <v>10</v>
      </c>
      <c r="K17" s="15">
        <v>10</v>
      </c>
      <c r="L17" s="15">
        <v>10</v>
      </c>
      <c r="M17" s="15">
        <v>10</v>
      </c>
      <c r="N17" s="15">
        <v>10</v>
      </c>
      <c r="O17" s="45">
        <v>10</v>
      </c>
      <c r="P17" s="45">
        <v>10</v>
      </c>
      <c r="Q17" s="15">
        <v>10</v>
      </c>
      <c r="R17" s="15">
        <v>10</v>
      </c>
      <c r="S17" s="15">
        <v>10</v>
      </c>
      <c r="T17" s="15">
        <v>10</v>
      </c>
      <c r="U17" s="15">
        <v>10</v>
      </c>
      <c r="V17" s="15">
        <v>10</v>
      </c>
      <c r="W17" s="15">
        <v>10</v>
      </c>
      <c r="X17" s="15">
        <v>10</v>
      </c>
      <c r="Y17" s="5">
        <f t="shared" si="1"/>
        <v>20</v>
      </c>
      <c r="Z17" s="6">
        <f t="shared" si="2"/>
        <v>200</v>
      </c>
      <c r="AA17" s="1">
        <f t="shared" si="3"/>
        <v>3.3333333333333335</v>
      </c>
    </row>
    <row r="18" spans="2:27" ht="16.95" customHeight="1" x14ac:dyDescent="0.25">
      <c r="B18" s="3">
        <v>11</v>
      </c>
      <c r="C18" s="3" t="s">
        <v>26</v>
      </c>
      <c r="D18" s="4" t="s">
        <v>27</v>
      </c>
      <c r="E18" s="45">
        <v>2</v>
      </c>
      <c r="F18" s="15">
        <v>2</v>
      </c>
      <c r="G18" s="15">
        <v>2</v>
      </c>
      <c r="H18" s="15">
        <v>2</v>
      </c>
      <c r="I18" s="52">
        <v>2</v>
      </c>
      <c r="J18" s="15">
        <v>2</v>
      </c>
      <c r="K18" s="15">
        <v>2</v>
      </c>
      <c r="L18" s="15">
        <v>2</v>
      </c>
      <c r="M18" s="15">
        <v>2</v>
      </c>
      <c r="N18" s="15">
        <v>2</v>
      </c>
      <c r="O18" s="45">
        <v>2</v>
      </c>
      <c r="P18" s="45">
        <v>2</v>
      </c>
      <c r="Q18" s="15">
        <v>2</v>
      </c>
      <c r="R18" s="15">
        <v>2</v>
      </c>
      <c r="S18" s="15">
        <v>2</v>
      </c>
      <c r="T18" s="15">
        <v>2</v>
      </c>
      <c r="U18" s="15">
        <v>2</v>
      </c>
      <c r="V18" s="15">
        <v>2</v>
      </c>
      <c r="W18" s="15">
        <v>2</v>
      </c>
      <c r="X18" s="15">
        <v>2</v>
      </c>
      <c r="Y18" s="5">
        <f t="shared" si="1"/>
        <v>20</v>
      </c>
      <c r="Z18" s="6">
        <f t="shared" si="2"/>
        <v>40</v>
      </c>
      <c r="AA18" s="1">
        <f t="shared" si="3"/>
        <v>3.3333333333333335</v>
      </c>
    </row>
    <row r="19" spans="2:27" ht="16.95" customHeight="1" x14ac:dyDescent="0.25">
      <c r="B19" s="3">
        <v>12</v>
      </c>
      <c r="C19" s="3" t="s">
        <v>35</v>
      </c>
      <c r="D19" s="4" t="s">
        <v>14</v>
      </c>
      <c r="E19" s="45">
        <v>8</v>
      </c>
      <c r="F19" s="15">
        <v>8</v>
      </c>
      <c r="G19" s="15">
        <v>8</v>
      </c>
      <c r="H19" s="15">
        <v>8</v>
      </c>
      <c r="I19" s="52">
        <v>8</v>
      </c>
      <c r="J19" s="15">
        <v>8</v>
      </c>
      <c r="K19" s="15">
        <v>7</v>
      </c>
      <c r="L19" s="15">
        <v>7</v>
      </c>
      <c r="M19" s="15">
        <v>6</v>
      </c>
      <c r="N19" s="15">
        <v>8</v>
      </c>
      <c r="O19" s="45">
        <v>7</v>
      </c>
      <c r="P19" s="45">
        <v>8</v>
      </c>
      <c r="Q19" s="15">
        <v>8</v>
      </c>
      <c r="R19" s="15">
        <v>8</v>
      </c>
      <c r="S19" s="15">
        <v>7</v>
      </c>
      <c r="T19" s="15"/>
      <c r="U19" s="15"/>
      <c r="V19" s="15"/>
      <c r="W19" s="15"/>
      <c r="X19" s="15"/>
      <c r="Y19" s="5">
        <f t="shared" si="1"/>
        <v>15</v>
      </c>
      <c r="Z19" s="6">
        <f t="shared" si="2"/>
        <v>114</v>
      </c>
      <c r="AA19" s="1">
        <f>Y19*10/60</f>
        <v>2.5</v>
      </c>
    </row>
    <row r="20" spans="2:27" s="27" customFormat="1" ht="12" customHeight="1" thickBot="1" x14ac:dyDescent="0.3">
      <c r="D20" s="28"/>
      <c r="E20" s="29">
        <f t="shared" ref="E20:R20" si="4">SUM(E8:E19)*10/60</f>
        <v>14</v>
      </c>
      <c r="F20" s="29">
        <f t="shared" si="4"/>
        <v>14.333333333333334</v>
      </c>
      <c r="G20" s="29">
        <f t="shared" si="4"/>
        <v>14</v>
      </c>
      <c r="H20" s="29">
        <f t="shared" si="4"/>
        <v>14.166666666666666</v>
      </c>
      <c r="I20" s="29">
        <f t="shared" si="4"/>
        <v>13.666666666666666</v>
      </c>
      <c r="J20" s="29">
        <f t="shared" si="4"/>
        <v>13.333333333333334</v>
      </c>
      <c r="K20" s="29">
        <f t="shared" si="4"/>
        <v>14</v>
      </c>
      <c r="L20" s="29">
        <f t="shared" si="4"/>
        <v>13.666666666666666</v>
      </c>
      <c r="M20" s="29">
        <f t="shared" si="4"/>
        <v>13.5</v>
      </c>
      <c r="N20" s="29">
        <f t="shared" si="4"/>
        <v>13.666666666666666</v>
      </c>
      <c r="O20" s="29">
        <f>SUM(O8:O19)*10/60</f>
        <v>14.333333333333334</v>
      </c>
      <c r="P20" s="29">
        <f t="shared" si="4"/>
        <v>14.333333333333334</v>
      </c>
      <c r="Q20" s="29">
        <f t="shared" si="4"/>
        <v>14.333333333333334</v>
      </c>
      <c r="R20" s="29">
        <f t="shared" si="4"/>
        <v>14.333333333333334</v>
      </c>
      <c r="S20" s="29">
        <f>SUM(S8:S19)*10/60</f>
        <v>13.833333333333334</v>
      </c>
      <c r="T20" s="29">
        <f t="shared" ref="T20:X20" si="5">SUM(T8:T19)*10/60</f>
        <v>7.833333333333333</v>
      </c>
      <c r="U20" s="29">
        <f t="shared" si="5"/>
        <v>7.833333333333333</v>
      </c>
      <c r="V20" s="29">
        <f t="shared" si="5"/>
        <v>7.5</v>
      </c>
      <c r="W20" s="29">
        <f t="shared" si="5"/>
        <v>7.5</v>
      </c>
      <c r="X20" s="29">
        <f t="shared" si="5"/>
        <v>7.5</v>
      </c>
      <c r="Y20" s="32">
        <f>SUM(E20:X20)</f>
        <v>247.66666666666674</v>
      </c>
      <c r="Z20" s="30"/>
    </row>
    <row r="21" spans="2:27" ht="26.25" customHeight="1" x14ac:dyDescent="0.25">
      <c r="D21" s="7" t="s">
        <v>29</v>
      </c>
      <c r="E21" s="16">
        <f t="shared" ref="E21:R21" si="6">COUNT(E8:E19)</f>
        <v>12</v>
      </c>
      <c r="F21" s="16">
        <f t="shared" si="6"/>
        <v>12</v>
      </c>
      <c r="G21" s="16">
        <f t="shared" si="6"/>
        <v>12</v>
      </c>
      <c r="H21" s="16">
        <f t="shared" si="6"/>
        <v>12</v>
      </c>
      <c r="I21" s="16">
        <f t="shared" si="6"/>
        <v>12</v>
      </c>
      <c r="J21" s="16">
        <f t="shared" si="6"/>
        <v>12</v>
      </c>
      <c r="K21" s="16">
        <f t="shared" si="6"/>
        <v>12</v>
      </c>
      <c r="L21" s="16">
        <f t="shared" si="6"/>
        <v>12</v>
      </c>
      <c r="M21" s="16">
        <f t="shared" si="6"/>
        <v>12</v>
      </c>
      <c r="N21" s="16">
        <f t="shared" si="6"/>
        <v>12</v>
      </c>
      <c r="O21" s="16">
        <f>COUNT(O8:O19)</f>
        <v>12</v>
      </c>
      <c r="P21" s="16">
        <f t="shared" si="6"/>
        <v>12</v>
      </c>
      <c r="Q21" s="16">
        <f t="shared" si="6"/>
        <v>12</v>
      </c>
      <c r="R21" s="16">
        <f t="shared" si="6"/>
        <v>12</v>
      </c>
      <c r="S21" s="16">
        <f>COUNT(S8:S19)</f>
        <v>12</v>
      </c>
      <c r="T21" s="16">
        <f t="shared" ref="T21:X21" si="7">COUNT(T8:T19)</f>
        <v>6</v>
      </c>
      <c r="U21" s="16">
        <f t="shared" si="7"/>
        <v>6</v>
      </c>
      <c r="V21" s="16">
        <f t="shared" si="7"/>
        <v>6</v>
      </c>
      <c r="W21" s="16">
        <f t="shared" si="7"/>
        <v>6</v>
      </c>
      <c r="X21" s="16">
        <f t="shared" si="7"/>
        <v>6</v>
      </c>
      <c r="Y21" s="24" t="s">
        <v>30</v>
      </c>
      <c r="Z21" s="8" t="s">
        <v>30</v>
      </c>
    </row>
    <row r="22" spans="2:27" ht="28.5" customHeight="1" x14ac:dyDescent="0.25">
      <c r="D22" s="9" t="s">
        <v>31</v>
      </c>
      <c r="E22" s="17">
        <f t="shared" ref="E22:R22" si="8">COUNT(E8:E19)</f>
        <v>12</v>
      </c>
      <c r="F22" s="17">
        <f t="shared" si="8"/>
        <v>12</v>
      </c>
      <c r="G22" s="17">
        <f t="shared" si="8"/>
        <v>12</v>
      </c>
      <c r="H22" s="17">
        <f t="shared" si="8"/>
        <v>12</v>
      </c>
      <c r="I22" s="17">
        <f t="shared" si="8"/>
        <v>12</v>
      </c>
      <c r="J22" s="17">
        <f t="shared" si="8"/>
        <v>12</v>
      </c>
      <c r="K22" s="17">
        <f t="shared" si="8"/>
        <v>12</v>
      </c>
      <c r="L22" s="17">
        <f t="shared" si="8"/>
        <v>12</v>
      </c>
      <c r="M22" s="17">
        <f t="shared" si="8"/>
        <v>12</v>
      </c>
      <c r="N22" s="17">
        <f t="shared" si="8"/>
        <v>12</v>
      </c>
      <c r="O22" s="17">
        <f>COUNT(O8:O19)</f>
        <v>12</v>
      </c>
      <c r="P22" s="17">
        <f t="shared" si="8"/>
        <v>12</v>
      </c>
      <c r="Q22" s="17">
        <f t="shared" si="8"/>
        <v>12</v>
      </c>
      <c r="R22" s="17">
        <f t="shared" si="8"/>
        <v>12</v>
      </c>
      <c r="S22" s="17">
        <f>COUNT(S8:S19)</f>
        <v>12</v>
      </c>
      <c r="T22" s="17">
        <f t="shared" ref="T22:X22" si="9">COUNT(T8:T19)</f>
        <v>6</v>
      </c>
      <c r="U22" s="17">
        <f t="shared" si="9"/>
        <v>6</v>
      </c>
      <c r="V22" s="17">
        <f t="shared" si="9"/>
        <v>6</v>
      </c>
      <c r="W22" s="17">
        <f t="shared" si="9"/>
        <v>6</v>
      </c>
      <c r="X22" s="17">
        <f t="shared" si="9"/>
        <v>6</v>
      </c>
      <c r="Y22" s="25" t="s">
        <v>30</v>
      </c>
      <c r="Z22" s="10">
        <f>SUM(E22:X22)</f>
        <v>210</v>
      </c>
    </row>
    <row r="23" spans="2:27" ht="23.25" customHeight="1" x14ac:dyDescent="0.25">
      <c r="D23" s="9" t="s">
        <v>32</v>
      </c>
      <c r="E23" s="18">
        <f t="shared" ref="E23:R23" si="10">SUM(E8:E19)</f>
        <v>84</v>
      </c>
      <c r="F23" s="18">
        <f t="shared" si="10"/>
        <v>86</v>
      </c>
      <c r="G23" s="18">
        <f t="shared" si="10"/>
        <v>84</v>
      </c>
      <c r="H23" s="18">
        <f t="shared" si="10"/>
        <v>85</v>
      </c>
      <c r="I23" s="18">
        <f t="shared" si="10"/>
        <v>82</v>
      </c>
      <c r="J23" s="18">
        <f t="shared" si="10"/>
        <v>80</v>
      </c>
      <c r="K23" s="18">
        <f t="shared" si="10"/>
        <v>84</v>
      </c>
      <c r="L23" s="18">
        <f t="shared" si="10"/>
        <v>82</v>
      </c>
      <c r="M23" s="18">
        <f t="shared" si="10"/>
        <v>81</v>
      </c>
      <c r="N23" s="18">
        <f t="shared" si="10"/>
        <v>82</v>
      </c>
      <c r="O23" s="18">
        <f>SUM(O8:O19)</f>
        <v>86</v>
      </c>
      <c r="P23" s="18">
        <f t="shared" si="10"/>
        <v>86</v>
      </c>
      <c r="Q23" s="18">
        <f t="shared" si="10"/>
        <v>86</v>
      </c>
      <c r="R23" s="18">
        <f t="shared" si="10"/>
        <v>86</v>
      </c>
      <c r="S23" s="18">
        <f>SUM(S8:S19)</f>
        <v>83</v>
      </c>
      <c r="T23" s="18">
        <f t="shared" ref="T23:X23" si="11">SUM(T8:T19)</f>
        <v>47</v>
      </c>
      <c r="U23" s="18">
        <f t="shared" si="11"/>
        <v>47</v>
      </c>
      <c r="V23" s="18">
        <f t="shared" si="11"/>
        <v>45</v>
      </c>
      <c r="W23" s="18">
        <f t="shared" si="11"/>
        <v>45</v>
      </c>
      <c r="X23" s="18">
        <f t="shared" si="11"/>
        <v>45</v>
      </c>
      <c r="Y23" s="25" t="s">
        <v>30</v>
      </c>
      <c r="Z23" s="11">
        <f>SUM(E23:X23)</f>
        <v>1486</v>
      </c>
    </row>
    <row r="24" spans="2:27" ht="23.25" customHeight="1" thickBot="1" x14ac:dyDescent="0.3">
      <c r="D24" s="12" t="s">
        <v>33</v>
      </c>
      <c r="E24" s="19">
        <f t="shared" ref="E24:X24" si="12">E22*10/60</f>
        <v>2</v>
      </c>
      <c r="F24" s="19">
        <f t="shared" si="12"/>
        <v>2</v>
      </c>
      <c r="G24" s="19">
        <f t="shared" si="12"/>
        <v>2</v>
      </c>
      <c r="H24" s="19">
        <f t="shared" si="12"/>
        <v>2</v>
      </c>
      <c r="I24" s="19">
        <f t="shared" si="12"/>
        <v>2</v>
      </c>
      <c r="J24" s="19">
        <f t="shared" si="12"/>
        <v>2</v>
      </c>
      <c r="K24" s="19">
        <f t="shared" si="12"/>
        <v>2</v>
      </c>
      <c r="L24" s="19">
        <f t="shared" si="12"/>
        <v>2</v>
      </c>
      <c r="M24" s="19">
        <f t="shared" si="12"/>
        <v>2</v>
      </c>
      <c r="N24" s="19">
        <f t="shared" si="12"/>
        <v>2</v>
      </c>
      <c r="O24" s="19">
        <f t="shared" si="12"/>
        <v>2</v>
      </c>
      <c r="P24" s="19">
        <f t="shared" si="12"/>
        <v>2</v>
      </c>
      <c r="Q24" s="19">
        <f t="shared" si="12"/>
        <v>2</v>
      </c>
      <c r="R24" s="19">
        <f t="shared" si="12"/>
        <v>2</v>
      </c>
      <c r="S24" s="19">
        <f t="shared" si="12"/>
        <v>2</v>
      </c>
      <c r="T24" s="19">
        <f t="shared" si="12"/>
        <v>1</v>
      </c>
      <c r="U24" s="19">
        <f t="shared" si="12"/>
        <v>1</v>
      </c>
      <c r="V24" s="19">
        <f t="shared" si="12"/>
        <v>1</v>
      </c>
      <c r="W24" s="19">
        <f t="shared" si="12"/>
        <v>1</v>
      </c>
      <c r="X24" s="19">
        <f t="shared" si="12"/>
        <v>1</v>
      </c>
      <c r="Y24" s="26"/>
      <c r="Z24" s="13">
        <f>SUM(E24:X24)</f>
        <v>35</v>
      </c>
    </row>
  </sheetData>
  <mergeCells count="6">
    <mergeCell ref="B2:C6"/>
    <mergeCell ref="D2:Z2"/>
    <mergeCell ref="D4:Z4"/>
    <mergeCell ref="D5:D6"/>
    <mergeCell ref="Y5:Y7"/>
    <mergeCell ref="Z5:Z7"/>
  </mergeCells>
  <pageMargins left="0.7" right="0.7" top="0.75" bottom="0.75" header="0.3" footer="0.3"/>
  <pageSetup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JAN.26</vt:lpstr>
      <vt:lpstr>FEV.26</vt:lpstr>
      <vt:lpstr>MAR.26</vt:lpstr>
      <vt:lpstr>ABR.26</vt:lpstr>
      <vt:lpstr>MAI.26</vt:lpstr>
      <vt:lpstr>JUN.26</vt:lpstr>
      <vt:lpstr>JUL.26</vt:lpstr>
      <vt:lpstr>AGO.26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09 - SET.19 - DSMS POR FRENTE DE SERVIÃ⁄O.xlsx</dc:title>
  <dc:subject/>
  <dc:creator>jlimeira</dc:creator>
  <cp:keywords/>
  <dc:description/>
  <cp:lastModifiedBy>João Everton de Souza Limeira</cp:lastModifiedBy>
  <cp:revision/>
  <dcterms:created xsi:type="dcterms:W3CDTF">2019-10-15T13:36:11Z</dcterms:created>
  <dcterms:modified xsi:type="dcterms:W3CDTF">2026-08-28T14:23:36Z</dcterms:modified>
  <cp:category/>
  <cp:contentStatus/>
</cp:coreProperties>
</file>